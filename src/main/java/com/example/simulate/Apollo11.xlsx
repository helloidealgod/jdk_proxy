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160" firstSheet="2" activeTab="6"/>
  </bookViews>
  <sheets>
    <sheet name="Sheet1" sheetId="1" r:id="rId1"/>
    <sheet name="Sheet2" sheetId="2" r:id="rId2"/>
    <sheet name="80C51" sheetId="3" r:id="rId3"/>
    <sheet name="STC90C52汇编指令" sheetId="4" r:id="rId4"/>
    <sheet name="STC90C52寄存器" sheetId="5" r:id="rId5"/>
    <sheet name="汇编状态表" sheetId="6" r:id="rId6"/>
    <sheet name="汇编指令字节数表" sheetId="9" r:id="rId7"/>
    <sheet name="汇编状态表-备份" sheetId="8" state="hidden" r:id="rId8"/>
    <sheet name="汇编指令" sheetId="7" r:id="rId9"/>
  </sheets>
  <definedNames>
    <definedName name="_xlnm.Print_Area" localSheetId="5">汇编状态表!$O$66</definedName>
    <definedName name="_xlnm.Print_Area" localSheetId="7">'汇编状态表-备份'!$O$66</definedName>
    <definedName name="_xlnm.Print_Area" localSheetId="6">汇编指令字节数表!$O$66</definedName>
  </definedNames>
  <calcPr calcId="144525"/>
</workbook>
</file>

<file path=xl/comments1.xml><?xml version="1.0" encoding="utf-8"?>
<comments xmlns="http://schemas.openxmlformats.org/spreadsheetml/2006/main">
  <authors>
    <author>jiangxiankun</author>
  </authors>
  <commentList>
    <comment ref="U18" authorId="0">
      <text>
        <r>
          <rPr>
            <sz val="9"/>
            <rFont val="宋体"/>
            <charset val="0"/>
          </rPr>
          <t>CY（PSW.7）：进位/借位标志
AC（PSW.6）：辅助进位标志（BCD运算）
F0（PSW.5）：用户标志位0
RS1、RS0（PSW.4、PSW.3）：寄存器组选择位
OV（PSW.2）：溢出标志
P（PSW.0）：奇偶标志（ACC中1的个数为奇数则置1）</t>
        </r>
      </text>
    </comment>
  </commentList>
</comments>
</file>

<file path=xl/comments2.xml><?xml version="1.0" encoding="utf-8"?>
<comments xmlns="http://schemas.openxmlformats.org/spreadsheetml/2006/main">
  <authors>
    <author>jiangxiankun</author>
  </authors>
  <commentList>
    <comment ref="D86" authorId="0">
      <text>
        <r>
          <rPr>
            <sz val="9"/>
            <rFont val="宋体"/>
            <charset val="0"/>
          </rPr>
          <t>PC ← A + DPTR
将累加器 A 中的无符号字节数据与数据指针 DPTR 中的 16 位地址相加，结果直接赋给程序计数器 PC，实现程序跳转。</t>
        </r>
      </text>
    </comment>
    <comment ref="D108" authorId="0">
      <text>
        <r>
          <rPr>
            <sz val="9"/>
            <rFont val="宋体"/>
            <charset val="0"/>
          </rPr>
          <t>C ← C AND (NOT bit)
即，先将指定 bit 位的值取反，然后与当前进位标志 C 进行逻辑“与”运算，结果存回 C 中</t>
        </r>
      </text>
    </comment>
  </commentList>
</comments>
</file>

<file path=xl/sharedStrings.xml><?xml version="1.0" encoding="utf-8"?>
<sst xmlns="http://schemas.openxmlformats.org/spreadsheetml/2006/main" count="2100" uniqueCount="1526">
  <si>
    <r>
      <rPr>
        <sz val="12"/>
        <color rgb="FF0F1115"/>
        <rFont val="宋体"/>
        <charset val="134"/>
        <scheme val="minor"/>
      </rPr>
      <t>字结构</t>
    </r>
    <r>
      <rPr>
        <sz val="12"/>
        <color rgb="FF0F1115"/>
        <rFont val="宋体"/>
        <charset val="134"/>
        <scheme val="minor"/>
      </rPr>
      <t>： 一个16位字包含：</t>
    </r>
  </si>
  <si>
    <r>
      <rPr>
        <sz val="12"/>
        <color rgb="FF0F1115"/>
        <rFont val="宋体"/>
        <charset val="134"/>
        <scheme val="minor"/>
      </rPr>
      <t>14位</t>
    </r>
    <r>
      <rPr>
        <sz val="12"/>
        <color rgb="FF0F1115"/>
        <rFont val="宋体"/>
        <charset val="134"/>
        <scheme val="minor"/>
      </rPr>
      <t> 数据/操作码</t>
    </r>
  </si>
  <si>
    <r>
      <rPr>
        <sz val="12"/>
        <color rgb="FF0F1115"/>
        <rFont val="宋体"/>
        <charset val="134"/>
        <scheme val="minor"/>
      </rPr>
      <t>1位</t>
    </r>
    <r>
      <rPr>
        <sz val="12"/>
        <color rgb="FF0F1115"/>
        <rFont val="宋体"/>
        <charset val="134"/>
        <scheme val="minor"/>
      </rPr>
      <t> 符号位</t>
    </r>
  </si>
  <si>
    <r>
      <rPr>
        <sz val="12"/>
        <color rgb="FF0F1115"/>
        <rFont val="宋体"/>
        <charset val="134"/>
        <scheme val="minor"/>
      </rPr>
      <t>1位</t>
    </r>
    <r>
      <rPr>
        <sz val="12"/>
        <color rgb="FF0F1115"/>
        <rFont val="宋体"/>
        <charset val="134"/>
        <scheme val="minor"/>
      </rPr>
      <t> </t>
    </r>
    <r>
      <rPr>
        <sz val="12"/>
        <color rgb="FF0F1115"/>
        <rFont val="宋体"/>
        <charset val="134"/>
        <scheme val="minor"/>
      </rPr>
      <t>奇偶校验位</t>
    </r>
  </si>
  <si>
    <r>
      <rPr>
        <sz val="12"/>
        <color rgb="FF0F1115"/>
        <rFont val="宋体"/>
        <charset val="134"/>
        <scheme val="minor"/>
      </rPr>
      <t>数据格式</t>
    </r>
    <r>
      <rPr>
        <sz val="12"/>
        <color rgb="FF0F1115"/>
        <rFont val="宋体"/>
        <charset val="134"/>
        <scheme val="minor"/>
      </rPr>
      <t>： 使用</t>
    </r>
    <r>
      <rPr>
        <sz val="12"/>
        <color rgb="FF0F1115"/>
        <rFont val="宋体"/>
        <charset val="134"/>
        <scheme val="minor"/>
      </rPr>
      <t>补码</t>
    </r>
    <r>
      <rPr>
        <sz val="12"/>
        <color rgb="FF0F1115"/>
        <rFont val="宋体"/>
        <charset val="134"/>
        <scheme val="minor"/>
      </rPr>
      <t>表示负数，大部分计算采用</t>
    </r>
    <r>
      <rPr>
        <sz val="12"/>
        <color rgb="FF0F1115"/>
        <rFont val="宋体"/>
        <charset val="134"/>
        <scheme val="minor"/>
      </rPr>
      <t>分数制</t>
    </r>
    <r>
      <rPr>
        <sz val="12"/>
        <color rgb="FF0F1115"/>
        <rFont val="宋体"/>
        <charset val="134"/>
        <scheme val="minor"/>
      </rPr>
      <t>（数值范围约在-1到+1之间），以简化三角函数和导航方程的计算</t>
    </r>
  </si>
  <si>
    <t>2. 指令集关键特点</t>
  </si>
  <si>
    <t>AGC的指令分为两大类，由指令字的高3位决定</t>
  </si>
  <si>
    <t>A. 常见操作码</t>
  </si>
  <si>
    <t>以下是AGC汇编语言中的关键指令助记符及其功能：</t>
  </si>
  <si>
    <t>TC： 转移控制</t>
  </si>
  <si>
    <t>最重要的指令之一。执行无条件跳转或子程序调用。</t>
  </si>
  <si>
    <t>TC K 会跳转到地址K，并将返回地址保存在一个特殊的寄存器Q中。因此，子程序返回通过 TC Q 实现。</t>
  </si>
  <si>
    <t>CCS： 计数、比较和跳转</t>
  </si>
  <si>
    <t>这是条件分支的核心指令。功能强大，一条指令完成：</t>
  </si>
  <si>
    <t>读取一个累加器（如A）。</t>
  </si>
  <si>
    <t>根据其值是 &gt;0, &lt;0, =0, 或溢出 四种情况。</t>
  </si>
  <si>
    <t>跳转到四个连续的代码地址之一。</t>
  </si>
  <si>
    <t>这是实现if-else逻辑的主要方式。</t>
  </si>
  <si>
    <t>INDEX： 变址</t>
  </si>
  <si>
    <t>用于修改后续指令的地址（类似于现代处理器的间接寻址或基址变址寻址）。</t>
  </si>
  <si>
    <t>INDEX A 会将累加器A的内容加到下一条指令上，然后执行被修改后的指令。常用于数组访问或复杂寻址。</t>
  </si>
  <si>
    <t>XCH： 交换</t>
  </si>
  <si>
    <t>在累加器和存储器之间交换数据。是主要的加载和存储指令。</t>
  </si>
  <si>
    <t>XCH A 将累加器A的内容与内存地址A的内容互换。</t>
  </si>
  <si>
    <t>算术运算：</t>
  </si>
  <si>
    <t>AD： 加</t>
  </si>
  <si>
    <t>SU： 减</t>
  </si>
  <si>
    <t>MP： 乘</t>
  </si>
  <si>
    <t>DV： 除</t>
  </si>
  <si>
    <t>DOUBLE： 将累加器内容左移一位（乘以2）。</t>
  </si>
  <si>
    <t>CS： 取补码（加载负数）。</t>
  </si>
  <si>
    <t>逻辑与移位：</t>
  </si>
  <si>
    <t>MASK： 掩码（按位与）。用于提取特定位。</t>
  </si>
  <si>
    <t>RESUME： 中断返回。在中断服务程序结束时使用。</t>
  </si>
  <si>
    <t>移位指令： 如 LXCH, RXCH 等，用于左右移位</t>
  </si>
  <si>
    <t>输入/输出指令：</t>
  </si>
  <si>
    <t>通过 IN, OUT 等指令与飞船的其他子系统（DSKY、惯性测量单元、发动机等）通信。这些指令操作特定的I/O通道。</t>
  </si>
  <si>
    <t>寄存器</t>
  </si>
  <si>
    <t>核心寄存器：</t>
  </si>
  <si>
    <t>A： 累加器，主算术寄存器。</t>
  </si>
  <si>
    <t>L： 低位乘积/通用寄存器（与A配合用于双精度乘除）。</t>
  </si>
  <si>
    <t>Q： 上一条 TC 指令的返回地址寄存器。</t>
  </si>
  <si>
    <t>Z： 程序计数器，指向下一条要执行的指令。</t>
  </si>
  <si>
    <t>BANK / FB： 存储体寄存器，用于扩展寻址范围。</t>
  </si>
  <si>
    <t>CYR, SR, CYL 等： 用于移位的临时寄存器。</t>
  </si>
  <si>
    <t>AGC指令编码格式</t>
  </si>
  <si>
    <t>一个15位指令字（不含奇偶位）的位格式：</t>
  </si>
  <si>
    <t>text</t>
  </si>
  <si>
    <t>14 13 12 11 10 09 08 07 06 05 04 03 02 01 00</t>
  </si>
  <si>
    <t>┌───┬───────────────────┬───────────────────┐</t>
  </si>
  <si>
    <t>│OP │ 寄存器/特殊码     │ 内存地址/数据     │</t>
  </si>
  <si>
    <t>└───┴───────────────────┴───────────────────┘</t>
  </si>
  <si>
    <t xml:space="preserve"> 3位       3位                  9位</t>
  </si>
  <si>
    <t>RAM</t>
  </si>
  <si>
    <t>R0</t>
  </si>
  <si>
    <t>P0</t>
  </si>
  <si>
    <t>P2</t>
  </si>
  <si>
    <t>ACC</t>
  </si>
  <si>
    <t>R1</t>
  </si>
  <si>
    <t>SP=07H</t>
  </si>
  <si>
    <t>R2</t>
  </si>
  <si>
    <t>DPL</t>
  </si>
  <si>
    <t>R3</t>
  </si>
  <si>
    <t>DPH</t>
  </si>
  <si>
    <t>R4</t>
  </si>
  <si>
    <t>R5</t>
  </si>
  <si>
    <t>R6</t>
  </si>
  <si>
    <t>R7</t>
  </si>
  <si>
    <t>PCON</t>
  </si>
  <si>
    <t>TCON</t>
  </si>
  <si>
    <t>IE</t>
  </si>
  <si>
    <t>TMOD</t>
  </si>
  <si>
    <t>TL0</t>
  </si>
  <si>
    <t>TL1</t>
  </si>
  <si>
    <t>TH0</t>
  </si>
  <si>
    <t>TH1</t>
  </si>
  <si>
    <t>P1</t>
  </si>
  <si>
    <t>P3</t>
  </si>
  <si>
    <t>PSW</t>
  </si>
  <si>
    <t>B寄存器</t>
  </si>
  <si>
    <t>SCON</t>
  </si>
  <si>
    <t>IP</t>
  </si>
  <si>
    <t>SBUF</t>
  </si>
  <si>
    <r>
      <rPr>
        <sz val="9.75"/>
        <color rgb="FF0F1115"/>
        <rFont val="宋体"/>
        <charset val="134"/>
        <scheme val="minor"/>
      </rPr>
      <t>ROM地址空间 (程序存储器)</t>
    </r>
  </si>
  <si>
    <r>
      <rPr>
        <sz val="9.75"/>
        <color rgb="FF0F1115"/>
        <rFont val="宋体"/>
        <charset val="134"/>
        <scheme val="minor"/>
      </rPr>
      <t>┌─────────────┐</t>
    </r>
  </si>
  <si>
    <r>
      <rPr>
        <sz val="9.75"/>
        <color rgb="FF0F1115"/>
        <rFont val="宋体"/>
        <charset val="134"/>
        <scheme val="minor"/>
      </rPr>
      <t>│ 0000H       │ ← 复位向量 (必须放LJMP跳转指令)</t>
    </r>
  </si>
  <si>
    <r>
      <rPr>
        <sz val="9.75"/>
        <color rgb="FF0F1115"/>
        <rFont val="宋体"/>
        <charset val="134"/>
        <scheme val="minor"/>
      </rPr>
      <t>├─────────────┤</t>
    </r>
  </si>
  <si>
    <r>
      <rPr>
        <sz val="9.75"/>
        <color rgb="FF0F1115"/>
        <rFont val="宋体"/>
        <charset val="134"/>
        <scheme val="minor"/>
      </rPr>
      <t>│ 0003H       │ ← INT0中断入口 (仅8字节空间)</t>
    </r>
  </si>
  <si>
    <r>
      <rPr>
        <sz val="9.75"/>
        <color rgb="FF0F1115"/>
        <rFont val="宋体"/>
        <charset val="134"/>
        <scheme val="minor"/>
      </rPr>
      <t>│ 000BH       │ ← T0中断入口 (仅8字节空间)</t>
    </r>
  </si>
  <si>
    <r>
      <rPr>
        <sz val="9.75"/>
        <color rgb="FF0F1115"/>
        <rFont val="宋体"/>
        <charset val="134"/>
        <scheme val="minor"/>
      </rPr>
      <t>│ 0013H       │ ← INT1中断入口 (仅8字节空间)</t>
    </r>
  </si>
  <si>
    <r>
      <rPr>
        <sz val="9.75"/>
        <color rgb="FF0F1115"/>
        <rFont val="宋体"/>
        <charset val="134"/>
        <scheme val="minor"/>
      </rPr>
      <t>│ 001BH       │ ← T1中断入口 (仅8字节空间)</t>
    </r>
  </si>
  <si>
    <r>
      <rPr>
        <sz val="9.75"/>
        <color rgb="FF0F1115"/>
        <rFont val="宋体"/>
        <charset val="134"/>
        <scheme val="minor"/>
      </rPr>
      <t>│ 0023H       │ ← 串口中断入口 (仅8字节空间)</t>
    </r>
  </si>
  <si>
    <r>
      <rPr>
        <sz val="9.75"/>
        <color rgb="FF0F1115"/>
        <rFont val="宋体"/>
        <charset val="134"/>
        <scheme val="minor"/>
      </rPr>
      <t>│ 002BH       │ ← T2中断入口 (增强型，仅8字节)</t>
    </r>
  </si>
  <si>
    <r>
      <rPr>
        <sz val="9.75"/>
        <color rgb="FF0F1115"/>
        <rFont val="宋体"/>
        <charset val="134"/>
        <scheme val="minor"/>
      </rPr>
      <t>│ 0030H       │ ← 用户程序通常从此开始</t>
    </r>
  </si>
  <si>
    <r>
      <rPr>
        <sz val="9.75"/>
        <color rgb="FF0F1115"/>
        <rFont val="宋体"/>
        <charset val="134"/>
        <scheme val="minor"/>
      </rPr>
      <t>└─────────────┘</t>
    </r>
  </si>
  <si>
    <t>一、数据传送指令 (28条)</t>
  </si>
  <si>
    <t>七、标志位速查表</t>
  </si>
  <si>
    <t>机器码</t>
  </si>
  <si>
    <t>汇编指令</t>
  </si>
  <si>
    <t>说明</t>
  </si>
  <si>
    <t>字节</t>
  </si>
  <si>
    <t>周期</t>
  </si>
  <si>
    <t>标志位</t>
  </si>
  <si>
    <t>名称</t>
  </si>
  <si>
    <t>位置</t>
  </si>
  <si>
    <t>1.1 累加器相关</t>
  </si>
  <si>
    <r>
      <rPr>
        <sz val="9.75"/>
        <color rgb="FF0F1115"/>
        <rFont val="宋体"/>
        <charset val="134"/>
        <scheme val="minor"/>
      </rPr>
      <t>E8~EF</t>
    </r>
  </si>
  <si>
    <r>
      <rPr>
        <sz val="9.75"/>
        <color rgb="FF0F1115"/>
        <rFont val="宋体"/>
        <charset val="134"/>
        <scheme val="minor"/>
      </rPr>
      <t>MOV A, Rn</t>
    </r>
  </si>
  <si>
    <r>
      <rPr>
        <sz val="11.25"/>
        <color rgb="FF0F1115"/>
        <rFont val="宋体"/>
        <charset val="134"/>
        <scheme val="minor"/>
      </rPr>
      <t>Rn→A (n=0~7)</t>
    </r>
  </si>
  <si>
    <r>
      <rPr>
        <sz val="11.25"/>
        <color rgb="FF0F1115"/>
        <rFont val="宋体"/>
        <charset val="134"/>
        <scheme val="minor"/>
      </rPr>
      <t>××××</t>
    </r>
  </si>
  <si>
    <t>CY</t>
  </si>
  <si>
    <t>进位标志</t>
  </si>
  <si>
    <t>PSW.7</t>
  </si>
  <si>
    <t>加减法进位/借位</t>
  </si>
  <si>
    <r>
      <rPr>
        <sz val="9.75"/>
        <color rgb="FF0F1115"/>
        <rFont val="宋体"/>
        <charset val="134"/>
        <scheme val="minor"/>
      </rPr>
      <t>E5 dd</t>
    </r>
  </si>
  <si>
    <r>
      <rPr>
        <sz val="9.75"/>
        <color rgb="FF0F1115"/>
        <rFont val="宋体"/>
        <charset val="134"/>
        <scheme val="minor"/>
      </rPr>
      <t>MOV A, direct</t>
    </r>
  </si>
  <si>
    <r>
      <rPr>
        <sz val="11.25"/>
        <color rgb="FF0F1115"/>
        <rFont val="宋体"/>
        <charset val="134"/>
        <scheme val="minor"/>
      </rPr>
      <t>(direct)→A</t>
    </r>
  </si>
  <si>
    <t>AC</t>
  </si>
  <si>
    <t>辅助进位</t>
  </si>
  <si>
    <t>PSW.6</t>
  </si>
  <si>
    <t>BCD码调整用</t>
  </si>
  <si>
    <r>
      <rPr>
        <sz val="9.75"/>
        <color rgb="FF0F1115"/>
        <rFont val="宋体"/>
        <charset val="134"/>
        <scheme val="minor"/>
      </rPr>
      <t>E6~E7</t>
    </r>
  </si>
  <si>
    <r>
      <rPr>
        <sz val="9.75"/>
        <color rgb="FF0F1115"/>
        <rFont val="宋体"/>
        <charset val="134"/>
        <scheme val="minor"/>
      </rPr>
      <t>MOV A, @Ri</t>
    </r>
  </si>
  <si>
    <r>
      <rPr>
        <sz val="11.25"/>
        <color rgb="FF0F1115"/>
        <rFont val="宋体"/>
        <charset val="134"/>
        <scheme val="minor"/>
      </rPr>
      <t>(Ri)→A (i=0,1)</t>
    </r>
  </si>
  <si>
    <t>F0</t>
  </si>
  <si>
    <t>用户标志0</t>
  </si>
  <si>
    <t>PSW.5</t>
  </si>
  <si>
    <t>用户自定义</t>
  </si>
  <si>
    <r>
      <rPr>
        <sz val="9.75"/>
        <color rgb="FF0F1115"/>
        <rFont val="宋体"/>
        <charset val="134"/>
        <scheme val="minor"/>
      </rPr>
      <t>74 xx</t>
    </r>
  </si>
  <si>
    <r>
      <rPr>
        <sz val="9.75"/>
        <color rgb="FF0F1115"/>
        <rFont val="宋体"/>
        <charset val="134"/>
        <scheme val="minor"/>
      </rPr>
      <t>MOV A, #data</t>
    </r>
  </si>
  <si>
    <r>
      <rPr>
        <sz val="11.25"/>
        <color rgb="FF0F1115"/>
        <rFont val="宋体"/>
        <charset val="134"/>
        <scheme val="minor"/>
      </rPr>
      <t>#data→A</t>
    </r>
  </si>
  <si>
    <t>RS1</t>
  </si>
  <si>
    <t>寄存器区选择1</t>
  </si>
  <si>
    <t>PSW.4</t>
  </si>
  <si>
    <t>00=区0, 01=区1</t>
  </si>
  <si>
    <r>
      <rPr>
        <sz val="9.75"/>
        <color rgb="FF0F1115"/>
        <rFont val="宋体"/>
        <charset val="134"/>
        <scheme val="minor"/>
      </rPr>
      <t>F8~FF</t>
    </r>
  </si>
  <si>
    <r>
      <rPr>
        <sz val="9.75"/>
        <color rgb="FF0F1115"/>
        <rFont val="宋体"/>
        <charset val="134"/>
        <scheme val="minor"/>
      </rPr>
      <t>MOV Rn, A</t>
    </r>
  </si>
  <si>
    <r>
      <rPr>
        <sz val="11.25"/>
        <color rgb="FF0F1115"/>
        <rFont val="宋体"/>
        <charset val="134"/>
        <scheme val="minor"/>
      </rPr>
      <t>A→Rn</t>
    </r>
  </si>
  <si>
    <t>RS0</t>
  </si>
  <si>
    <t>寄存器区选择0</t>
  </si>
  <si>
    <t>PSW.3</t>
  </si>
  <si>
    <t>10=区2, 11=区3</t>
  </si>
  <si>
    <r>
      <rPr>
        <sz val="9.75"/>
        <color rgb="FF0F1115"/>
        <rFont val="宋体"/>
        <charset val="134"/>
        <scheme val="minor"/>
      </rPr>
      <t>A8~AF dd</t>
    </r>
  </si>
  <si>
    <r>
      <rPr>
        <sz val="9.75"/>
        <color rgb="FF0F1115"/>
        <rFont val="宋体"/>
        <charset val="134"/>
        <scheme val="minor"/>
      </rPr>
      <t>MOV Rn, direct</t>
    </r>
  </si>
  <si>
    <r>
      <rPr>
        <sz val="11.25"/>
        <color rgb="FF0F1115"/>
        <rFont val="宋体"/>
        <charset val="134"/>
        <scheme val="minor"/>
      </rPr>
      <t>(direct)→Rn</t>
    </r>
  </si>
  <si>
    <t>OV</t>
  </si>
  <si>
    <t>溢出标志</t>
  </si>
  <si>
    <t>PSW.2</t>
  </si>
  <si>
    <t>有符号溢出</t>
  </si>
  <si>
    <r>
      <rPr>
        <sz val="9.75"/>
        <color rgb="FF0F1115"/>
        <rFont val="宋体"/>
        <charset val="134"/>
        <scheme val="minor"/>
      </rPr>
      <t>78~7F xx</t>
    </r>
  </si>
  <si>
    <r>
      <rPr>
        <sz val="9.75"/>
        <color rgb="FF0F1115"/>
        <rFont val="宋体"/>
        <charset val="134"/>
        <scheme val="minor"/>
      </rPr>
      <t>MOV Rn, #data</t>
    </r>
  </si>
  <si>
    <r>
      <rPr>
        <sz val="11.25"/>
        <color rgb="FF0F1115"/>
        <rFont val="宋体"/>
        <charset val="134"/>
        <scheme val="minor"/>
      </rPr>
      <t>#data→Rn</t>
    </r>
  </si>
  <si>
    <t>P</t>
  </si>
  <si>
    <t>奇偶标志</t>
  </si>
  <si>
    <t>PSW.0</t>
  </si>
  <si>
    <t>A中1的个数为奇则置1</t>
  </si>
  <si>
    <t>1.2 直接地址传送</t>
  </si>
  <si>
    <r>
      <rPr>
        <sz val="9.75"/>
        <color rgb="FF0F1115"/>
        <rFont val="宋体"/>
        <charset val="134"/>
        <scheme val="minor"/>
      </rPr>
      <t>F5 dd</t>
    </r>
  </si>
  <si>
    <r>
      <rPr>
        <sz val="9.75"/>
        <color rgb="FF0F1115"/>
        <rFont val="宋体"/>
        <charset val="134"/>
        <scheme val="minor"/>
      </rPr>
      <t>MOV direct, A</t>
    </r>
  </si>
  <si>
    <r>
      <rPr>
        <sz val="11.25"/>
        <color rgb="FF0F1115"/>
        <rFont val="宋体"/>
        <charset val="134"/>
        <scheme val="minor"/>
      </rPr>
      <t>A→direct</t>
    </r>
  </si>
  <si>
    <r>
      <rPr>
        <sz val="9.75"/>
        <color rgb="FF0F1115"/>
        <rFont val="宋体"/>
        <charset val="134"/>
        <scheme val="minor"/>
      </rPr>
      <t>88~8F dd</t>
    </r>
  </si>
  <si>
    <r>
      <rPr>
        <sz val="9.75"/>
        <color rgb="FF0F1115"/>
        <rFont val="宋体"/>
        <charset val="134"/>
        <scheme val="minor"/>
      </rPr>
      <t>MOV direct, Rn</t>
    </r>
  </si>
  <si>
    <r>
      <rPr>
        <sz val="11.25"/>
        <color rgb="FF0F1115"/>
        <rFont val="宋体"/>
        <charset val="134"/>
        <scheme val="minor"/>
      </rPr>
      <t>Rn→direct</t>
    </r>
  </si>
  <si>
    <r>
      <rPr>
        <sz val="9.75"/>
        <color rgb="FF0F1115"/>
        <rFont val="宋体"/>
        <charset val="134"/>
        <scheme val="minor"/>
      </rPr>
      <t>85 dd dd</t>
    </r>
  </si>
  <si>
    <r>
      <rPr>
        <sz val="9.75"/>
        <color rgb="FF0F1115"/>
        <rFont val="宋体"/>
        <charset val="134"/>
        <scheme val="minor"/>
      </rPr>
      <t>MOV direct1, direct2</t>
    </r>
  </si>
  <si>
    <r>
      <rPr>
        <sz val="11.25"/>
        <color rgb="FF0F1115"/>
        <rFont val="宋体"/>
        <charset val="134"/>
        <scheme val="minor"/>
      </rPr>
      <t>(direct2)→direct1</t>
    </r>
  </si>
  <si>
    <r>
      <rPr>
        <sz val="9.75"/>
        <color rgb="FF0F1115"/>
        <rFont val="宋体"/>
        <charset val="134"/>
        <scheme val="minor"/>
      </rPr>
      <t>86~87 dd</t>
    </r>
  </si>
  <si>
    <t>MOV direct, @Ri</t>
  </si>
  <si>
    <r>
      <rPr>
        <sz val="11.25"/>
        <color rgb="FF0F1115"/>
        <rFont val="宋体"/>
        <charset val="134"/>
        <scheme val="minor"/>
      </rPr>
      <t>(Ri)→direct</t>
    </r>
  </si>
  <si>
    <r>
      <rPr>
        <sz val="9.75"/>
        <color rgb="FF0F1115"/>
        <rFont val="宋体"/>
        <charset val="134"/>
        <scheme val="minor"/>
      </rPr>
      <t>75 dd xx</t>
    </r>
  </si>
  <si>
    <r>
      <rPr>
        <sz val="9.75"/>
        <color rgb="FF0F1115"/>
        <rFont val="宋体"/>
        <charset val="134"/>
        <scheme val="minor"/>
      </rPr>
      <t>MOV direct, #data</t>
    </r>
  </si>
  <si>
    <r>
      <rPr>
        <sz val="11.25"/>
        <color rgb="FF0F1115"/>
        <rFont val="宋体"/>
        <charset val="134"/>
        <scheme val="minor"/>
      </rPr>
      <t>#data→direct</t>
    </r>
  </si>
  <si>
    <r>
      <rPr>
        <sz val="9.75"/>
        <color rgb="FF0F1115"/>
        <rFont val="宋体"/>
        <charset val="134"/>
        <scheme val="minor"/>
      </rPr>
      <t>F6~F7</t>
    </r>
  </si>
  <si>
    <r>
      <rPr>
        <sz val="9.75"/>
        <color rgb="FF0F1115"/>
        <rFont val="宋体"/>
        <charset val="134"/>
        <scheme val="minor"/>
      </rPr>
      <t>MOV @Ri, A</t>
    </r>
  </si>
  <si>
    <r>
      <rPr>
        <sz val="11.25"/>
        <color rgb="FF0F1115"/>
        <rFont val="宋体"/>
        <charset val="134"/>
        <scheme val="minor"/>
      </rPr>
      <t>A→(Ri)</t>
    </r>
  </si>
  <si>
    <r>
      <rPr>
        <sz val="9.75"/>
        <color rgb="FF0F1115"/>
        <rFont val="宋体"/>
        <charset val="134"/>
        <scheme val="minor"/>
      </rPr>
      <t>A6~A7 dd</t>
    </r>
  </si>
  <si>
    <r>
      <rPr>
        <sz val="9.75"/>
        <color rgb="FF0F1115"/>
        <rFont val="宋体"/>
        <charset val="134"/>
        <scheme val="minor"/>
      </rPr>
      <t>MOV @Ri, direct</t>
    </r>
  </si>
  <si>
    <r>
      <rPr>
        <sz val="11.25"/>
        <color rgb="FF0F1115"/>
        <rFont val="宋体"/>
        <charset val="134"/>
        <scheme val="minor"/>
      </rPr>
      <t>(direct)→(Ri)</t>
    </r>
  </si>
  <si>
    <r>
      <rPr>
        <sz val="9.75"/>
        <color rgb="FF0F1115"/>
        <rFont val="宋体"/>
        <charset val="134"/>
        <scheme val="minor"/>
      </rPr>
      <t>76~77 xx</t>
    </r>
  </si>
  <si>
    <r>
      <rPr>
        <sz val="9.75"/>
        <color rgb="FF0F1115"/>
        <rFont val="宋体"/>
        <charset val="134"/>
        <scheme val="minor"/>
      </rPr>
      <t>MOV @Ri, #data</t>
    </r>
  </si>
  <si>
    <r>
      <rPr>
        <sz val="11.25"/>
        <color rgb="FF0F1115"/>
        <rFont val="宋体"/>
        <charset val="134"/>
        <scheme val="minor"/>
      </rPr>
      <t>#data→(Ri)</t>
    </r>
  </si>
  <si>
    <t>1.4 16位数据传送</t>
  </si>
  <si>
    <r>
      <rPr>
        <sz val="9.75"/>
        <color rgb="FF0F1115"/>
        <rFont val="宋体"/>
        <charset val="134"/>
        <scheme val="minor"/>
      </rPr>
      <t>90 xx xx</t>
    </r>
  </si>
  <si>
    <r>
      <rPr>
        <sz val="9.75"/>
        <color rgb="FF0F1115"/>
        <rFont val="宋体"/>
        <charset val="134"/>
        <scheme val="minor"/>
      </rPr>
      <t>MOV DPTR, #data16</t>
    </r>
  </si>
  <si>
    <r>
      <rPr>
        <sz val="11.25"/>
        <color rgb="FF0F1115"/>
        <rFont val="宋体"/>
        <charset val="134"/>
        <scheme val="minor"/>
      </rPr>
      <t>#data16→DPTR</t>
    </r>
  </si>
  <si>
    <t>1.5 查表指令</t>
  </si>
  <si>
    <r>
      <rPr>
        <sz val="9.75"/>
        <color rgb="FF0F1115"/>
        <rFont val="宋体"/>
        <charset val="134"/>
        <scheme val="minor"/>
      </rPr>
      <t>MOVC A, @A+PC</t>
    </r>
  </si>
  <si>
    <r>
      <rPr>
        <sz val="11.25"/>
        <color rgb="FF0F1115"/>
        <rFont val="宋体"/>
        <charset val="134"/>
        <scheme val="minor"/>
      </rPr>
      <t>(A+PC)→A</t>
    </r>
  </si>
  <si>
    <r>
      <rPr>
        <sz val="9.75"/>
        <color rgb="FF0F1115"/>
        <rFont val="宋体"/>
        <charset val="134"/>
        <scheme val="minor"/>
      </rPr>
      <t>MOVC A, @A+DPTR</t>
    </r>
  </si>
  <si>
    <r>
      <rPr>
        <sz val="11.25"/>
        <color rgb="FF0F1115"/>
        <rFont val="宋体"/>
        <charset val="134"/>
        <scheme val="minor"/>
      </rPr>
      <t>(A+DPTR)→A</t>
    </r>
  </si>
  <si>
    <t>1.6 外部RAM传送</t>
  </si>
  <si>
    <r>
      <rPr>
        <sz val="9.75"/>
        <color rgb="FF0F1115"/>
        <rFont val="宋体"/>
        <charset val="134"/>
        <scheme val="minor"/>
      </rPr>
      <t>E2~E3</t>
    </r>
  </si>
  <si>
    <r>
      <rPr>
        <sz val="9.75"/>
        <color rgb="FF0F1115"/>
        <rFont val="宋体"/>
        <charset val="134"/>
        <scheme val="minor"/>
      </rPr>
      <t>MOVX A, @Ri</t>
    </r>
  </si>
  <si>
    <r>
      <rPr>
        <sz val="11.25"/>
        <color rgb="FF0F1115"/>
        <rFont val="宋体"/>
        <charset val="134"/>
        <scheme val="minor"/>
      </rPr>
      <t>(Ri)→A (外部)</t>
    </r>
  </si>
  <si>
    <r>
      <rPr>
        <sz val="9.75"/>
        <color rgb="FF0F1115"/>
        <rFont val="宋体"/>
        <charset val="134"/>
        <scheme val="minor"/>
      </rPr>
      <t>F2~F3</t>
    </r>
  </si>
  <si>
    <r>
      <rPr>
        <sz val="9.75"/>
        <color rgb="FF0F1115"/>
        <rFont val="宋体"/>
        <charset val="134"/>
        <scheme val="minor"/>
      </rPr>
      <t>MOVX @Ri, A</t>
    </r>
  </si>
  <si>
    <r>
      <rPr>
        <sz val="11.25"/>
        <color rgb="FF0F1115"/>
        <rFont val="宋体"/>
        <charset val="134"/>
        <scheme val="minor"/>
      </rPr>
      <t>A→(Ri) (外部)</t>
    </r>
  </si>
  <si>
    <r>
      <rPr>
        <sz val="9.75"/>
        <color rgb="FF0F1115"/>
        <rFont val="宋体"/>
        <charset val="134"/>
        <scheme val="minor"/>
      </rPr>
      <t>E0</t>
    </r>
  </si>
  <si>
    <r>
      <rPr>
        <sz val="9.75"/>
        <color rgb="FF0F1115"/>
        <rFont val="宋体"/>
        <charset val="134"/>
        <scheme val="minor"/>
      </rPr>
      <t>MOVX A, @DPTR</t>
    </r>
  </si>
  <si>
    <r>
      <rPr>
        <sz val="11.25"/>
        <color rgb="FF0F1115"/>
        <rFont val="宋体"/>
        <charset val="134"/>
        <scheme val="minor"/>
      </rPr>
      <t>(DPTR)→A (外部)</t>
    </r>
  </si>
  <si>
    <r>
      <rPr>
        <sz val="9.75"/>
        <color rgb="FF0F1115"/>
        <rFont val="宋体"/>
        <charset val="134"/>
        <scheme val="minor"/>
      </rPr>
      <t>F0</t>
    </r>
  </si>
  <si>
    <r>
      <rPr>
        <sz val="9.75"/>
        <color rgb="FF0F1115"/>
        <rFont val="宋体"/>
        <charset val="134"/>
        <scheme val="minor"/>
      </rPr>
      <t>MOVX @DPTR, A</t>
    </r>
  </si>
  <si>
    <r>
      <rPr>
        <sz val="11.25"/>
        <color rgb="FF0F1115"/>
        <rFont val="宋体"/>
        <charset val="134"/>
        <scheme val="minor"/>
      </rPr>
      <t>A→(DPTR) (外部)</t>
    </r>
  </si>
  <si>
    <t>1.7 堆栈操作</t>
  </si>
  <si>
    <r>
      <rPr>
        <sz val="9.75"/>
        <color rgb="FF0F1115"/>
        <rFont val="宋体"/>
        <charset val="134"/>
        <scheme val="minor"/>
      </rPr>
      <t>C0 dd</t>
    </r>
  </si>
  <si>
    <r>
      <rPr>
        <sz val="9.75"/>
        <color rgb="FF0F1115"/>
        <rFont val="宋体"/>
        <charset val="134"/>
        <scheme val="minor"/>
      </rPr>
      <t>PUSH direct</t>
    </r>
  </si>
  <si>
    <r>
      <rPr>
        <sz val="11.25"/>
        <color rgb="FF0F1115"/>
        <rFont val="宋体"/>
        <charset val="134"/>
        <scheme val="minor"/>
      </rPr>
      <t>SP←SP+1, (SP)←(direct)</t>
    </r>
  </si>
  <si>
    <r>
      <rPr>
        <sz val="9.75"/>
        <color rgb="FF0F1115"/>
        <rFont val="宋体"/>
        <charset val="134"/>
        <scheme val="minor"/>
      </rPr>
      <t>D0 dd</t>
    </r>
  </si>
  <si>
    <r>
      <rPr>
        <sz val="9.75"/>
        <color rgb="FF0F1115"/>
        <rFont val="宋体"/>
        <charset val="134"/>
        <scheme val="minor"/>
      </rPr>
      <t>POP direct</t>
    </r>
  </si>
  <si>
    <r>
      <rPr>
        <sz val="11.25"/>
        <color rgb="FF0F1115"/>
        <rFont val="宋体"/>
        <charset val="134"/>
        <scheme val="minor"/>
      </rPr>
      <t>(direct)←(SP), SP←SP-1</t>
    </r>
  </si>
  <si>
    <t>1.8 交换指令</t>
  </si>
  <si>
    <r>
      <rPr>
        <sz val="9.75"/>
        <color rgb="FF0F1115"/>
        <rFont val="宋体"/>
        <charset val="134"/>
        <scheme val="minor"/>
      </rPr>
      <t>C6~C7</t>
    </r>
  </si>
  <si>
    <r>
      <rPr>
        <sz val="9.75"/>
        <color rgb="FF0F1115"/>
        <rFont val="宋体"/>
        <charset val="134"/>
        <scheme val="minor"/>
      </rPr>
      <t>XCH A, @Ri</t>
    </r>
  </si>
  <si>
    <r>
      <rPr>
        <sz val="11.25"/>
        <color rgb="FF0F1115"/>
        <rFont val="宋体"/>
        <charset val="134"/>
        <scheme val="minor"/>
      </rPr>
      <t>A↔(Ri)</t>
    </r>
  </si>
  <si>
    <r>
      <rPr>
        <sz val="9.75"/>
        <color rgb="FF0F1115"/>
        <rFont val="宋体"/>
        <charset val="134"/>
        <scheme val="minor"/>
      </rPr>
      <t>C8~CF</t>
    </r>
  </si>
  <si>
    <r>
      <rPr>
        <sz val="9.75"/>
        <color rgb="FF0F1115"/>
        <rFont val="宋体"/>
        <charset val="134"/>
        <scheme val="minor"/>
      </rPr>
      <t>XCH A, Rn</t>
    </r>
  </si>
  <si>
    <r>
      <rPr>
        <sz val="11.25"/>
        <color rgb="FF0F1115"/>
        <rFont val="宋体"/>
        <charset val="134"/>
        <scheme val="minor"/>
      </rPr>
      <t>A↔Rn</t>
    </r>
  </si>
  <si>
    <r>
      <rPr>
        <sz val="9.75"/>
        <color rgb="FF0F1115"/>
        <rFont val="宋体"/>
        <charset val="134"/>
        <scheme val="minor"/>
      </rPr>
      <t>C5 dd</t>
    </r>
  </si>
  <si>
    <r>
      <rPr>
        <sz val="9.75"/>
        <color rgb="FF0F1115"/>
        <rFont val="宋体"/>
        <charset val="134"/>
        <scheme val="minor"/>
      </rPr>
      <t>XCH A, direct</t>
    </r>
  </si>
  <si>
    <r>
      <rPr>
        <sz val="11.25"/>
        <color rgb="FF0F1115"/>
        <rFont val="宋体"/>
        <charset val="134"/>
        <scheme val="minor"/>
      </rPr>
      <t>A↔(direct)</t>
    </r>
  </si>
  <si>
    <r>
      <rPr>
        <sz val="9.75"/>
        <color rgb="FF0F1115"/>
        <rFont val="宋体"/>
        <charset val="134"/>
        <scheme val="minor"/>
      </rPr>
      <t>D6~D7</t>
    </r>
  </si>
  <si>
    <r>
      <rPr>
        <sz val="9.75"/>
        <color rgb="FF0F1115"/>
        <rFont val="宋体"/>
        <charset val="134"/>
        <scheme val="minor"/>
      </rPr>
      <t>XCHD A, @Ri</t>
    </r>
  </si>
  <si>
    <r>
      <rPr>
        <sz val="11.25"/>
        <color rgb="FF0F1115"/>
        <rFont val="宋体"/>
        <charset val="134"/>
        <scheme val="minor"/>
      </rPr>
      <t>A[3:0]↔(Ri)[3:0]</t>
    </r>
  </si>
  <si>
    <t>二、算术运算指令 (24条)</t>
  </si>
  <si>
    <t>标志位影响</t>
  </si>
  <si>
    <t>2.1 加法</t>
  </si>
  <si>
    <r>
      <rPr>
        <sz val="9.75"/>
        <color rgb="FF0F1115"/>
        <rFont val="宋体"/>
        <charset val="134"/>
        <scheme val="minor"/>
      </rPr>
      <t>28~2F</t>
    </r>
  </si>
  <si>
    <r>
      <rPr>
        <sz val="9.75"/>
        <color rgb="FF0F1115"/>
        <rFont val="宋体"/>
        <charset val="134"/>
        <scheme val="minor"/>
      </rPr>
      <t>ADD A, Rn</t>
    </r>
  </si>
  <si>
    <r>
      <rPr>
        <sz val="11.25"/>
        <color rgb="FF0F1115"/>
        <rFont val="宋体"/>
        <charset val="134"/>
        <scheme val="minor"/>
      </rPr>
      <t>A+Rn→A</t>
    </r>
  </si>
  <si>
    <r>
      <rPr>
        <sz val="11.25"/>
        <color rgb="FF0F1115"/>
        <rFont val="宋体"/>
        <charset val="134"/>
        <scheme val="minor"/>
      </rPr>
      <t>√√√√</t>
    </r>
  </si>
  <si>
    <r>
      <rPr>
        <sz val="9.75"/>
        <color rgb="FF0F1115"/>
        <rFont val="宋体"/>
        <charset val="134"/>
        <scheme val="minor"/>
      </rPr>
      <t>25 dd</t>
    </r>
  </si>
  <si>
    <r>
      <rPr>
        <sz val="9.75"/>
        <color rgb="FF0F1115"/>
        <rFont val="宋体"/>
        <charset val="134"/>
        <scheme val="minor"/>
      </rPr>
      <t>ADD A, direct</t>
    </r>
  </si>
  <si>
    <r>
      <rPr>
        <sz val="11.25"/>
        <color rgb="FF0F1115"/>
        <rFont val="宋体"/>
        <charset val="134"/>
        <scheme val="minor"/>
      </rPr>
      <t>A+(direct)→A</t>
    </r>
  </si>
  <si>
    <r>
      <rPr>
        <sz val="9.75"/>
        <color rgb="FF0F1115"/>
        <rFont val="宋体"/>
        <charset val="134"/>
        <scheme val="minor"/>
      </rPr>
      <t>26~27</t>
    </r>
  </si>
  <si>
    <r>
      <rPr>
        <sz val="9.75"/>
        <color rgb="FF0F1115"/>
        <rFont val="宋体"/>
        <charset val="134"/>
        <scheme val="minor"/>
      </rPr>
      <t>ADD A, @Ri</t>
    </r>
  </si>
  <si>
    <r>
      <rPr>
        <sz val="11.25"/>
        <color rgb="FF0F1115"/>
        <rFont val="宋体"/>
        <charset val="134"/>
        <scheme val="minor"/>
      </rPr>
      <t>A+(Ri)→A</t>
    </r>
  </si>
  <si>
    <r>
      <rPr>
        <sz val="9.75"/>
        <color rgb="FF0F1115"/>
        <rFont val="宋体"/>
        <charset val="134"/>
        <scheme val="minor"/>
      </rPr>
      <t>24 xx</t>
    </r>
  </si>
  <si>
    <r>
      <rPr>
        <sz val="9.75"/>
        <color rgb="FF0F1115"/>
        <rFont val="宋体"/>
        <charset val="134"/>
        <scheme val="minor"/>
      </rPr>
      <t>ADD A, #data</t>
    </r>
  </si>
  <si>
    <r>
      <rPr>
        <sz val="11.25"/>
        <color rgb="FF0F1115"/>
        <rFont val="宋体"/>
        <charset val="134"/>
        <scheme val="minor"/>
      </rPr>
      <t>A+#data→A</t>
    </r>
  </si>
  <si>
    <r>
      <rPr>
        <sz val="9.75"/>
        <color rgb="FF0F1115"/>
        <rFont val="宋体"/>
        <charset val="134"/>
        <scheme val="minor"/>
      </rPr>
      <t>38~3F</t>
    </r>
  </si>
  <si>
    <r>
      <rPr>
        <sz val="9.75"/>
        <color rgb="FF0F1115"/>
        <rFont val="宋体"/>
        <charset val="134"/>
        <scheme val="minor"/>
      </rPr>
      <t>ADDC A, Rn</t>
    </r>
  </si>
  <si>
    <r>
      <rPr>
        <sz val="11.25"/>
        <color rgb="FF0F1115"/>
        <rFont val="宋体"/>
        <charset val="134"/>
        <scheme val="minor"/>
      </rPr>
      <t>A+Rn+CY→A</t>
    </r>
  </si>
  <si>
    <r>
      <rPr>
        <sz val="9.75"/>
        <color rgb="FF0F1115"/>
        <rFont val="宋体"/>
        <charset val="134"/>
        <scheme val="minor"/>
      </rPr>
      <t>35 dd</t>
    </r>
  </si>
  <si>
    <r>
      <rPr>
        <sz val="9.75"/>
        <color rgb="FF0F1115"/>
        <rFont val="宋体"/>
        <charset val="134"/>
        <scheme val="minor"/>
      </rPr>
      <t>ADDC A, direct</t>
    </r>
  </si>
  <si>
    <r>
      <rPr>
        <sz val="11.25"/>
        <color rgb="FF0F1115"/>
        <rFont val="宋体"/>
        <charset val="134"/>
        <scheme val="minor"/>
      </rPr>
      <t>A+(direct)+CY→A</t>
    </r>
  </si>
  <si>
    <r>
      <rPr>
        <sz val="9.75"/>
        <color rgb="FF0F1115"/>
        <rFont val="宋体"/>
        <charset val="134"/>
        <scheme val="minor"/>
      </rPr>
      <t>36~37</t>
    </r>
  </si>
  <si>
    <r>
      <rPr>
        <sz val="9.75"/>
        <color rgb="FF0F1115"/>
        <rFont val="宋体"/>
        <charset val="134"/>
        <scheme val="minor"/>
      </rPr>
      <t>ADDC A, @Ri</t>
    </r>
  </si>
  <si>
    <r>
      <rPr>
        <sz val="11.25"/>
        <color rgb="FF0F1115"/>
        <rFont val="宋体"/>
        <charset val="134"/>
        <scheme val="minor"/>
      </rPr>
      <t>A+(Ri)+CY→A</t>
    </r>
  </si>
  <si>
    <r>
      <rPr>
        <sz val="9.75"/>
        <color rgb="FF0F1115"/>
        <rFont val="宋体"/>
        <charset val="134"/>
        <scheme val="minor"/>
      </rPr>
      <t>34 xx</t>
    </r>
  </si>
  <si>
    <r>
      <rPr>
        <sz val="9.75"/>
        <color rgb="FF0F1115"/>
        <rFont val="宋体"/>
        <charset val="134"/>
        <scheme val="minor"/>
      </rPr>
      <t>ADDC A, #data</t>
    </r>
  </si>
  <si>
    <r>
      <rPr>
        <sz val="11.25"/>
        <color rgb="FF0F1115"/>
        <rFont val="宋体"/>
        <charset val="134"/>
        <scheme val="minor"/>
      </rPr>
      <t>A+#data+CY→A</t>
    </r>
  </si>
  <si>
    <t>2.2 带借位减法</t>
  </si>
  <si>
    <r>
      <rPr>
        <sz val="9.75"/>
        <color rgb="FF0F1115"/>
        <rFont val="宋体"/>
        <charset val="134"/>
        <scheme val="minor"/>
      </rPr>
      <t>98~9F</t>
    </r>
  </si>
  <si>
    <r>
      <rPr>
        <sz val="9.75"/>
        <color rgb="FF0F1115"/>
        <rFont val="宋体"/>
        <charset val="134"/>
        <scheme val="minor"/>
      </rPr>
      <t>SUBB A, Rn</t>
    </r>
  </si>
  <si>
    <r>
      <rPr>
        <sz val="11.25"/>
        <color rgb="FF0F1115"/>
        <rFont val="宋体"/>
        <charset val="134"/>
        <scheme val="minor"/>
      </rPr>
      <t>A-Rn-CY→A</t>
    </r>
  </si>
  <si>
    <r>
      <rPr>
        <sz val="9.75"/>
        <color rgb="FF0F1115"/>
        <rFont val="宋体"/>
        <charset val="134"/>
        <scheme val="minor"/>
      </rPr>
      <t>95 dd</t>
    </r>
  </si>
  <si>
    <r>
      <rPr>
        <sz val="9.75"/>
        <color rgb="FF0F1115"/>
        <rFont val="宋体"/>
        <charset val="134"/>
        <scheme val="minor"/>
      </rPr>
      <t>SUBB A, direct</t>
    </r>
  </si>
  <si>
    <r>
      <rPr>
        <sz val="11.25"/>
        <color rgb="FF0F1115"/>
        <rFont val="宋体"/>
        <charset val="134"/>
        <scheme val="minor"/>
      </rPr>
      <t>A-(direct)-CY→A</t>
    </r>
  </si>
  <si>
    <r>
      <rPr>
        <sz val="9.75"/>
        <color rgb="FF0F1115"/>
        <rFont val="宋体"/>
        <charset val="134"/>
        <scheme val="minor"/>
      </rPr>
      <t>96~97</t>
    </r>
  </si>
  <si>
    <r>
      <rPr>
        <sz val="9.75"/>
        <color rgb="FF0F1115"/>
        <rFont val="宋体"/>
        <charset val="134"/>
        <scheme val="minor"/>
      </rPr>
      <t>SUBB A, @Ri</t>
    </r>
  </si>
  <si>
    <r>
      <rPr>
        <sz val="11.25"/>
        <color rgb="FF0F1115"/>
        <rFont val="宋体"/>
        <charset val="134"/>
        <scheme val="minor"/>
      </rPr>
      <t>A-(Ri)-CY→A</t>
    </r>
  </si>
  <si>
    <r>
      <rPr>
        <sz val="9.75"/>
        <color rgb="FF0F1115"/>
        <rFont val="宋体"/>
        <charset val="134"/>
        <scheme val="minor"/>
      </rPr>
      <t>94 xx</t>
    </r>
  </si>
  <si>
    <r>
      <rPr>
        <sz val="9.75"/>
        <color rgb="FF0F1115"/>
        <rFont val="宋体"/>
        <charset val="134"/>
        <scheme val="minor"/>
      </rPr>
      <t>SUBB A, #data</t>
    </r>
  </si>
  <si>
    <r>
      <rPr>
        <sz val="11.25"/>
        <color rgb="FF0F1115"/>
        <rFont val="宋体"/>
        <charset val="134"/>
        <scheme val="minor"/>
      </rPr>
      <t>A-#data-CY→A</t>
    </r>
  </si>
  <si>
    <t>2.3 加1/减1</t>
  </si>
  <si>
    <r>
      <rPr>
        <sz val="9.75"/>
        <color rgb="FF0F1115"/>
        <rFont val="宋体"/>
        <charset val="134"/>
        <scheme val="minor"/>
      </rPr>
      <t>INC A</t>
    </r>
  </si>
  <si>
    <r>
      <rPr>
        <sz val="11.25"/>
        <color rgb="FF0F1115"/>
        <rFont val="宋体"/>
        <charset val="134"/>
        <scheme val="minor"/>
      </rPr>
      <t>A+1→A</t>
    </r>
  </si>
  <si>
    <r>
      <rPr>
        <sz val="9.75"/>
        <color rgb="FF0F1115"/>
        <rFont val="宋体"/>
        <charset val="134"/>
        <scheme val="minor"/>
      </rPr>
      <t>08~0F</t>
    </r>
  </si>
  <si>
    <r>
      <rPr>
        <sz val="9.75"/>
        <color rgb="FF0F1115"/>
        <rFont val="宋体"/>
        <charset val="134"/>
        <scheme val="minor"/>
      </rPr>
      <t>INC Rn</t>
    </r>
  </si>
  <si>
    <r>
      <rPr>
        <sz val="11.25"/>
        <color rgb="FF0F1115"/>
        <rFont val="宋体"/>
        <charset val="134"/>
        <scheme val="minor"/>
      </rPr>
      <t>Rn+1→Rn</t>
    </r>
  </si>
  <si>
    <r>
      <rPr>
        <sz val="9.75"/>
        <color rgb="FF0F1115"/>
        <rFont val="宋体"/>
        <charset val="134"/>
        <scheme val="minor"/>
      </rPr>
      <t>05 dd</t>
    </r>
  </si>
  <si>
    <r>
      <rPr>
        <sz val="9.75"/>
        <color rgb="FF0F1115"/>
        <rFont val="宋体"/>
        <charset val="134"/>
        <scheme val="minor"/>
      </rPr>
      <t>INC direct</t>
    </r>
  </si>
  <si>
    <r>
      <rPr>
        <sz val="11.25"/>
        <color rgb="FF0F1115"/>
        <rFont val="宋体"/>
        <charset val="134"/>
        <scheme val="minor"/>
      </rPr>
      <t>(direct)+1→direct</t>
    </r>
  </si>
  <si>
    <r>
      <rPr>
        <sz val="9.75"/>
        <color rgb="FF0F1115"/>
        <rFont val="宋体"/>
        <charset val="134"/>
        <scheme val="minor"/>
      </rPr>
      <t>06~07</t>
    </r>
  </si>
  <si>
    <r>
      <rPr>
        <sz val="9.75"/>
        <color rgb="FF0F1115"/>
        <rFont val="宋体"/>
        <charset val="134"/>
        <scheme val="minor"/>
      </rPr>
      <t>INC @Ri</t>
    </r>
  </si>
  <si>
    <r>
      <rPr>
        <sz val="11.25"/>
        <color rgb="FF0F1115"/>
        <rFont val="宋体"/>
        <charset val="134"/>
        <scheme val="minor"/>
      </rPr>
      <t>(Ri)+1→(Ri)</t>
    </r>
  </si>
  <si>
    <r>
      <rPr>
        <sz val="9.75"/>
        <color rgb="FF0F1115"/>
        <rFont val="宋体"/>
        <charset val="134"/>
        <scheme val="minor"/>
      </rPr>
      <t>A3</t>
    </r>
  </si>
  <si>
    <r>
      <rPr>
        <sz val="9.75"/>
        <color rgb="FF0F1115"/>
        <rFont val="宋体"/>
        <charset val="134"/>
        <scheme val="minor"/>
      </rPr>
      <t>INC DPTR</t>
    </r>
  </si>
  <si>
    <r>
      <rPr>
        <sz val="11.25"/>
        <color rgb="FF0F1115"/>
        <rFont val="宋体"/>
        <charset val="134"/>
        <scheme val="minor"/>
      </rPr>
      <t>DPTR+1→DPTR</t>
    </r>
  </si>
  <si>
    <r>
      <rPr>
        <sz val="9.75"/>
        <color rgb="FF0F1115"/>
        <rFont val="宋体"/>
        <charset val="134"/>
        <scheme val="minor"/>
      </rPr>
      <t>DEC A</t>
    </r>
  </si>
  <si>
    <r>
      <rPr>
        <sz val="11.25"/>
        <color rgb="FF0F1115"/>
        <rFont val="宋体"/>
        <charset val="134"/>
        <scheme val="minor"/>
      </rPr>
      <t>A-1→A</t>
    </r>
  </si>
  <si>
    <r>
      <rPr>
        <sz val="9.75"/>
        <color rgb="FF0F1115"/>
        <rFont val="宋体"/>
        <charset val="134"/>
        <scheme val="minor"/>
      </rPr>
      <t>18~1F</t>
    </r>
  </si>
  <si>
    <r>
      <rPr>
        <sz val="9.75"/>
        <color rgb="FF0F1115"/>
        <rFont val="宋体"/>
        <charset val="134"/>
        <scheme val="minor"/>
      </rPr>
      <t>DEC Rn</t>
    </r>
  </si>
  <si>
    <r>
      <rPr>
        <sz val="11.25"/>
        <color rgb="FF0F1115"/>
        <rFont val="宋体"/>
        <charset val="134"/>
        <scheme val="minor"/>
      </rPr>
      <t>Rn-1→Rn</t>
    </r>
  </si>
  <si>
    <r>
      <rPr>
        <sz val="9.75"/>
        <color rgb="FF0F1115"/>
        <rFont val="宋体"/>
        <charset val="134"/>
        <scheme val="minor"/>
      </rPr>
      <t>15 dd</t>
    </r>
  </si>
  <si>
    <r>
      <rPr>
        <sz val="9.75"/>
        <color rgb="FF0F1115"/>
        <rFont val="宋体"/>
        <charset val="134"/>
        <scheme val="minor"/>
      </rPr>
      <t>DEC direct</t>
    </r>
  </si>
  <si>
    <r>
      <rPr>
        <sz val="11.25"/>
        <color rgb="FF0F1115"/>
        <rFont val="宋体"/>
        <charset val="134"/>
        <scheme val="minor"/>
      </rPr>
      <t>(direct)-1→direct</t>
    </r>
  </si>
  <si>
    <r>
      <rPr>
        <sz val="9.75"/>
        <color rgb="FF0F1115"/>
        <rFont val="宋体"/>
        <charset val="134"/>
        <scheme val="minor"/>
      </rPr>
      <t>16~17</t>
    </r>
  </si>
  <si>
    <r>
      <rPr>
        <sz val="9.75"/>
        <color rgb="FF0F1115"/>
        <rFont val="宋体"/>
        <charset val="134"/>
        <scheme val="minor"/>
      </rPr>
      <t>DEC @Ri</t>
    </r>
  </si>
  <si>
    <r>
      <rPr>
        <sz val="11.25"/>
        <color rgb="FF0F1115"/>
        <rFont val="宋体"/>
        <charset val="134"/>
        <scheme val="minor"/>
      </rPr>
      <t>(Ri)-1→(Ri)</t>
    </r>
  </si>
  <si>
    <t>2.4 乘除法</t>
  </si>
  <si>
    <r>
      <rPr>
        <sz val="9.75"/>
        <color rgb="FF0F1115"/>
        <rFont val="宋体"/>
        <charset val="134"/>
        <scheme val="minor"/>
      </rPr>
      <t>A4</t>
    </r>
  </si>
  <si>
    <r>
      <rPr>
        <sz val="9.75"/>
        <color rgb="FF0F1115"/>
        <rFont val="宋体"/>
        <charset val="134"/>
        <scheme val="minor"/>
      </rPr>
      <t>MUL AB</t>
    </r>
  </si>
  <si>
    <r>
      <rPr>
        <sz val="11.25"/>
        <color rgb="FF0F1115"/>
        <rFont val="宋体"/>
        <charset val="134"/>
        <scheme val="minor"/>
      </rPr>
      <t>A×B→BA</t>
    </r>
  </si>
  <si>
    <r>
      <rPr>
        <sz val="11.25"/>
        <color rgb="FF0F1115"/>
        <rFont val="宋体"/>
        <charset val="134"/>
        <scheme val="minor"/>
      </rPr>
      <t>√×√×</t>
    </r>
  </si>
  <si>
    <r>
      <rPr>
        <sz val="9.75"/>
        <color rgb="FF0F1115"/>
        <rFont val="宋体"/>
        <charset val="134"/>
        <scheme val="minor"/>
      </rPr>
      <t>DIV AB</t>
    </r>
  </si>
  <si>
    <r>
      <rPr>
        <sz val="11.25"/>
        <color rgb="FF0F1115"/>
        <rFont val="宋体"/>
        <charset val="134"/>
        <scheme val="minor"/>
      </rPr>
      <t>A÷B→A(商) B(余)</t>
    </r>
  </si>
  <si>
    <t>2.5 十进制调整</t>
  </si>
  <si>
    <r>
      <rPr>
        <sz val="9.75"/>
        <color rgb="FF0F1115"/>
        <rFont val="宋体"/>
        <charset val="134"/>
        <scheme val="minor"/>
      </rPr>
      <t>D4</t>
    </r>
  </si>
  <si>
    <r>
      <rPr>
        <sz val="9.75"/>
        <color rgb="FF0F1115"/>
        <rFont val="宋体"/>
        <charset val="134"/>
        <scheme val="minor"/>
      </rPr>
      <t>DA A</t>
    </r>
  </si>
  <si>
    <r>
      <rPr>
        <sz val="11.25"/>
        <color rgb="FF0F1115"/>
        <rFont val="宋体"/>
        <charset val="134"/>
        <scheme val="minor"/>
      </rPr>
      <t>十进制调整</t>
    </r>
  </si>
  <si>
    <r>
      <rPr>
        <sz val="11.25"/>
        <color rgb="FF0F1115"/>
        <rFont val="宋体"/>
        <charset val="134"/>
        <scheme val="minor"/>
      </rPr>
      <t>√××√</t>
    </r>
  </si>
  <si>
    <t>三、逻辑运算指令 (25条)</t>
  </si>
  <si>
    <t>3.1 基本逻辑</t>
  </si>
  <si>
    <r>
      <rPr>
        <sz val="9.75"/>
        <color rgb="FF0F1115"/>
        <rFont val="宋体"/>
        <charset val="134"/>
        <scheme val="minor"/>
      </rPr>
      <t>58~5F</t>
    </r>
  </si>
  <si>
    <r>
      <rPr>
        <sz val="9.75"/>
        <color rgb="FF0F1115"/>
        <rFont val="宋体"/>
        <charset val="134"/>
        <scheme val="minor"/>
      </rPr>
      <t>ANL A, Rn</t>
    </r>
  </si>
  <si>
    <r>
      <rPr>
        <sz val="11.25"/>
        <color rgb="FF0F1115"/>
        <rFont val="宋体"/>
        <charset val="134"/>
        <scheme val="minor"/>
      </rPr>
      <t>A∧Rn→A</t>
    </r>
  </si>
  <si>
    <r>
      <rPr>
        <sz val="9.75"/>
        <color rgb="FF0F1115"/>
        <rFont val="宋体"/>
        <charset val="134"/>
        <scheme val="minor"/>
      </rPr>
      <t>55 dd</t>
    </r>
  </si>
  <si>
    <r>
      <rPr>
        <sz val="9.75"/>
        <color rgb="FF0F1115"/>
        <rFont val="宋体"/>
        <charset val="134"/>
        <scheme val="minor"/>
      </rPr>
      <t>ANL A, direct</t>
    </r>
  </si>
  <si>
    <r>
      <rPr>
        <sz val="11.25"/>
        <color rgb="FF0F1115"/>
        <rFont val="宋体"/>
        <charset val="134"/>
        <scheme val="minor"/>
      </rPr>
      <t>A∧(direct)→A</t>
    </r>
  </si>
  <si>
    <r>
      <rPr>
        <sz val="9.75"/>
        <color rgb="FF0F1115"/>
        <rFont val="宋体"/>
        <charset val="134"/>
        <scheme val="minor"/>
      </rPr>
      <t>56~57</t>
    </r>
  </si>
  <si>
    <r>
      <rPr>
        <sz val="9.75"/>
        <color rgb="FF0F1115"/>
        <rFont val="宋体"/>
        <charset val="134"/>
        <scheme val="minor"/>
      </rPr>
      <t>ANL A, @Ri</t>
    </r>
  </si>
  <si>
    <r>
      <rPr>
        <sz val="11.25"/>
        <color rgb="FF0F1115"/>
        <rFont val="宋体"/>
        <charset val="134"/>
        <scheme val="minor"/>
      </rPr>
      <t>A∧(Ri)→A</t>
    </r>
  </si>
  <si>
    <r>
      <rPr>
        <sz val="9.75"/>
        <color rgb="FF0F1115"/>
        <rFont val="宋体"/>
        <charset val="134"/>
        <scheme val="minor"/>
      </rPr>
      <t>54 xx</t>
    </r>
  </si>
  <si>
    <r>
      <rPr>
        <sz val="9.75"/>
        <color rgb="FF0F1115"/>
        <rFont val="宋体"/>
        <charset val="134"/>
        <scheme val="minor"/>
      </rPr>
      <t>ANL A, #data</t>
    </r>
  </si>
  <si>
    <r>
      <rPr>
        <sz val="11.25"/>
        <color rgb="FF0F1115"/>
        <rFont val="宋体"/>
        <charset val="134"/>
        <scheme val="minor"/>
      </rPr>
      <t>A∧#data→A</t>
    </r>
  </si>
  <si>
    <r>
      <rPr>
        <sz val="9.75"/>
        <color rgb="FF0F1115"/>
        <rFont val="宋体"/>
        <charset val="134"/>
        <scheme val="minor"/>
      </rPr>
      <t>48~4F</t>
    </r>
  </si>
  <si>
    <r>
      <rPr>
        <sz val="9.75"/>
        <color rgb="FF0F1115"/>
        <rFont val="宋体"/>
        <charset val="134"/>
        <scheme val="minor"/>
      </rPr>
      <t>ORL A, Rn</t>
    </r>
  </si>
  <si>
    <r>
      <rPr>
        <sz val="11.25"/>
        <color rgb="FF0F1115"/>
        <rFont val="宋体"/>
        <charset val="134"/>
        <scheme val="minor"/>
      </rPr>
      <t>A∨Rn→A</t>
    </r>
  </si>
  <si>
    <r>
      <rPr>
        <sz val="9.75"/>
        <color rgb="FF0F1115"/>
        <rFont val="宋体"/>
        <charset val="134"/>
        <scheme val="minor"/>
      </rPr>
      <t>45 dd</t>
    </r>
  </si>
  <si>
    <r>
      <rPr>
        <sz val="9.75"/>
        <color rgb="FF0F1115"/>
        <rFont val="宋体"/>
        <charset val="134"/>
        <scheme val="minor"/>
      </rPr>
      <t>ORL A, direct</t>
    </r>
  </si>
  <si>
    <r>
      <rPr>
        <sz val="11.25"/>
        <color rgb="FF0F1115"/>
        <rFont val="宋体"/>
        <charset val="134"/>
        <scheme val="minor"/>
      </rPr>
      <t>A∨(direct)→A</t>
    </r>
  </si>
  <si>
    <r>
      <rPr>
        <sz val="9.75"/>
        <color rgb="FF0F1115"/>
        <rFont val="宋体"/>
        <charset val="134"/>
        <scheme val="minor"/>
      </rPr>
      <t>46~47</t>
    </r>
  </si>
  <si>
    <r>
      <rPr>
        <sz val="9.75"/>
        <color rgb="FF0F1115"/>
        <rFont val="宋体"/>
        <charset val="134"/>
        <scheme val="minor"/>
      </rPr>
      <t>ORL A, @Ri</t>
    </r>
  </si>
  <si>
    <r>
      <rPr>
        <sz val="11.25"/>
        <color rgb="FF0F1115"/>
        <rFont val="宋体"/>
        <charset val="134"/>
        <scheme val="minor"/>
      </rPr>
      <t>A∨(Ri)→A</t>
    </r>
  </si>
  <si>
    <r>
      <rPr>
        <sz val="9.75"/>
        <color rgb="FF0F1115"/>
        <rFont val="宋体"/>
        <charset val="134"/>
        <scheme val="minor"/>
      </rPr>
      <t>44 xx</t>
    </r>
  </si>
  <si>
    <r>
      <rPr>
        <sz val="9.75"/>
        <color rgb="FF0F1115"/>
        <rFont val="宋体"/>
        <charset val="134"/>
        <scheme val="minor"/>
      </rPr>
      <t>ORL A, #data</t>
    </r>
  </si>
  <si>
    <r>
      <rPr>
        <sz val="11.25"/>
        <color rgb="FF0F1115"/>
        <rFont val="宋体"/>
        <charset val="134"/>
        <scheme val="minor"/>
      </rPr>
      <t>A∨#data→A</t>
    </r>
  </si>
  <si>
    <r>
      <rPr>
        <sz val="9.75"/>
        <color rgb="FF0F1115"/>
        <rFont val="宋体"/>
        <charset val="134"/>
        <scheme val="minor"/>
      </rPr>
      <t>68~6F</t>
    </r>
  </si>
  <si>
    <r>
      <rPr>
        <sz val="9.75"/>
        <color rgb="FF0F1115"/>
        <rFont val="宋体"/>
        <charset val="134"/>
        <scheme val="minor"/>
      </rPr>
      <t>XRL A, Rn</t>
    </r>
  </si>
  <si>
    <r>
      <rPr>
        <sz val="11.25"/>
        <color rgb="FF0F1115"/>
        <rFont val="宋体"/>
        <charset val="134"/>
        <scheme val="minor"/>
      </rPr>
      <t>A⊕Rn→A</t>
    </r>
  </si>
  <si>
    <r>
      <rPr>
        <sz val="9.75"/>
        <color rgb="FF0F1115"/>
        <rFont val="宋体"/>
        <charset val="134"/>
        <scheme val="minor"/>
      </rPr>
      <t>65 dd</t>
    </r>
  </si>
  <si>
    <r>
      <rPr>
        <sz val="9.75"/>
        <color rgb="FF0F1115"/>
        <rFont val="宋体"/>
        <charset val="134"/>
        <scheme val="minor"/>
      </rPr>
      <t>XRL A, direct</t>
    </r>
  </si>
  <si>
    <r>
      <rPr>
        <sz val="11.25"/>
        <color rgb="FF0F1115"/>
        <rFont val="宋体"/>
        <charset val="134"/>
        <scheme val="minor"/>
      </rPr>
      <t>A⊕(direct)→A</t>
    </r>
  </si>
  <si>
    <r>
      <rPr>
        <sz val="9.75"/>
        <color rgb="FF0F1115"/>
        <rFont val="宋体"/>
        <charset val="134"/>
        <scheme val="minor"/>
      </rPr>
      <t>66~67</t>
    </r>
  </si>
  <si>
    <r>
      <rPr>
        <sz val="9.75"/>
        <color rgb="FF0F1115"/>
        <rFont val="宋体"/>
        <charset val="134"/>
        <scheme val="minor"/>
      </rPr>
      <t>XRL A, @Ri</t>
    </r>
  </si>
  <si>
    <r>
      <rPr>
        <sz val="11.25"/>
        <color rgb="FF0F1115"/>
        <rFont val="宋体"/>
        <charset val="134"/>
        <scheme val="minor"/>
      </rPr>
      <t>A⊕(Ri)→A</t>
    </r>
  </si>
  <si>
    <r>
      <rPr>
        <sz val="9.75"/>
        <color rgb="FF0F1115"/>
        <rFont val="宋体"/>
        <charset val="134"/>
        <scheme val="minor"/>
      </rPr>
      <t>64 xx</t>
    </r>
  </si>
  <si>
    <r>
      <rPr>
        <sz val="9.75"/>
        <color rgb="FF0F1115"/>
        <rFont val="宋体"/>
        <charset val="134"/>
        <scheme val="minor"/>
      </rPr>
      <t>XRL A, #data</t>
    </r>
  </si>
  <si>
    <r>
      <rPr>
        <sz val="11.25"/>
        <color rgb="FF0F1115"/>
        <rFont val="宋体"/>
        <charset val="134"/>
        <scheme val="minor"/>
      </rPr>
      <t>A⊕#data→A</t>
    </r>
  </si>
  <si>
    <t>3.2 累加器操作</t>
  </si>
  <si>
    <r>
      <rPr>
        <sz val="9.75"/>
        <color rgb="FF0F1115"/>
        <rFont val="宋体"/>
        <charset val="134"/>
        <scheme val="minor"/>
      </rPr>
      <t>E4</t>
    </r>
  </si>
  <si>
    <r>
      <rPr>
        <sz val="9.75"/>
        <color rgb="FF0F1115"/>
        <rFont val="宋体"/>
        <charset val="134"/>
        <scheme val="minor"/>
      </rPr>
      <t>CLR A</t>
    </r>
  </si>
  <si>
    <r>
      <rPr>
        <sz val="11.25"/>
        <color rgb="FF0F1115"/>
        <rFont val="宋体"/>
        <charset val="134"/>
        <scheme val="minor"/>
      </rPr>
      <t>0→A</t>
    </r>
  </si>
  <si>
    <r>
      <rPr>
        <sz val="9.75"/>
        <color rgb="FF0F1115"/>
        <rFont val="宋体"/>
        <charset val="134"/>
        <scheme val="minor"/>
      </rPr>
      <t>F4</t>
    </r>
  </si>
  <si>
    <r>
      <rPr>
        <sz val="9.75"/>
        <color rgb="FF0F1115"/>
        <rFont val="宋体"/>
        <charset val="134"/>
        <scheme val="minor"/>
      </rPr>
      <t>CPL A</t>
    </r>
  </si>
  <si>
    <r>
      <rPr>
        <sz val="11.25"/>
        <color rgb="FF0F1115"/>
        <rFont val="宋体"/>
        <charset val="134"/>
        <scheme val="minor"/>
      </rPr>
      <t>/A→A</t>
    </r>
  </si>
  <si>
    <r>
      <rPr>
        <sz val="9.75"/>
        <color rgb="FF0F1115"/>
        <rFont val="宋体"/>
        <charset val="134"/>
        <scheme val="minor"/>
      </rPr>
      <t>RL A</t>
    </r>
  </si>
  <si>
    <r>
      <rPr>
        <sz val="11.25"/>
        <color rgb="FF0F1115"/>
        <rFont val="宋体"/>
        <charset val="134"/>
        <scheme val="minor"/>
      </rPr>
      <t>循环左移</t>
    </r>
  </si>
  <si>
    <r>
      <rPr>
        <sz val="9.75"/>
        <color rgb="FF0F1115"/>
        <rFont val="宋体"/>
        <charset val="134"/>
        <scheme val="minor"/>
      </rPr>
      <t>RLC A</t>
    </r>
  </si>
  <si>
    <r>
      <rPr>
        <sz val="11.25"/>
        <color rgb="FF0F1115"/>
        <rFont val="宋体"/>
        <charset val="134"/>
        <scheme val="minor"/>
      </rPr>
      <t>带CY循环左移</t>
    </r>
  </si>
  <si>
    <r>
      <rPr>
        <sz val="11.25"/>
        <color rgb="FF0F1115"/>
        <rFont val="宋体"/>
        <charset val="134"/>
        <scheme val="minor"/>
      </rPr>
      <t>√×××</t>
    </r>
  </si>
  <si>
    <r>
      <rPr>
        <sz val="9.75"/>
        <color rgb="FF0F1115"/>
        <rFont val="宋体"/>
        <charset val="134"/>
        <scheme val="minor"/>
      </rPr>
      <t>RR A</t>
    </r>
  </si>
  <si>
    <r>
      <rPr>
        <sz val="11.25"/>
        <color rgb="FF0F1115"/>
        <rFont val="宋体"/>
        <charset val="134"/>
        <scheme val="minor"/>
      </rPr>
      <t>循环右移</t>
    </r>
  </si>
  <si>
    <r>
      <rPr>
        <sz val="9.75"/>
        <color rgb="FF0F1115"/>
        <rFont val="宋体"/>
        <charset val="134"/>
        <scheme val="minor"/>
      </rPr>
      <t>RRC A</t>
    </r>
  </si>
  <si>
    <r>
      <rPr>
        <sz val="11.25"/>
        <color rgb="FF0F1115"/>
        <rFont val="宋体"/>
        <charset val="134"/>
        <scheme val="minor"/>
      </rPr>
      <t>带CY循环右移</t>
    </r>
  </si>
  <si>
    <r>
      <rPr>
        <sz val="9.75"/>
        <color rgb="FF0F1115"/>
        <rFont val="宋体"/>
        <charset val="134"/>
        <scheme val="minor"/>
      </rPr>
      <t>C4</t>
    </r>
  </si>
  <si>
    <r>
      <rPr>
        <sz val="9.75"/>
        <color rgb="FF0F1115"/>
        <rFont val="宋体"/>
        <charset val="134"/>
        <scheme val="minor"/>
      </rPr>
      <t>SWAP A</t>
    </r>
  </si>
  <si>
    <r>
      <rPr>
        <sz val="11.25"/>
        <color rgb="FF0F1115"/>
        <rFont val="宋体"/>
        <charset val="134"/>
        <scheme val="minor"/>
      </rPr>
      <t>A高4位与低4位交换</t>
    </r>
  </si>
  <si>
    <t>3.3 直接地址逻辑运算</t>
  </si>
  <si>
    <r>
      <rPr>
        <sz val="9.75"/>
        <color rgb="FF0F1115"/>
        <rFont val="宋体"/>
        <charset val="134"/>
        <scheme val="minor"/>
      </rPr>
      <t>52 dd xx</t>
    </r>
  </si>
  <si>
    <r>
      <rPr>
        <sz val="9.75"/>
        <color rgb="FF0F1115"/>
        <rFont val="宋体"/>
        <charset val="134"/>
        <scheme val="minor"/>
      </rPr>
      <t>ANL direct, #data</t>
    </r>
  </si>
  <si>
    <r>
      <rPr>
        <sz val="11.25"/>
        <color rgb="FF0F1115"/>
        <rFont val="宋体"/>
        <charset val="134"/>
        <scheme val="minor"/>
      </rPr>
      <t>(direct)∧#data→direct</t>
    </r>
  </si>
  <si>
    <r>
      <rPr>
        <sz val="9.75"/>
        <color rgb="FF0F1115"/>
        <rFont val="宋体"/>
        <charset val="134"/>
        <scheme val="minor"/>
      </rPr>
      <t>42 dd xx</t>
    </r>
  </si>
  <si>
    <r>
      <rPr>
        <sz val="9.75"/>
        <color rgb="FF0F1115"/>
        <rFont val="宋体"/>
        <charset val="134"/>
        <scheme val="minor"/>
      </rPr>
      <t>ORL direct, #data</t>
    </r>
  </si>
  <si>
    <r>
      <rPr>
        <sz val="11.25"/>
        <color rgb="FF0F1115"/>
        <rFont val="宋体"/>
        <charset val="134"/>
        <scheme val="minor"/>
      </rPr>
      <t>(direct)∨#data→direct</t>
    </r>
  </si>
  <si>
    <r>
      <rPr>
        <sz val="9.75"/>
        <color rgb="FF0F1115"/>
        <rFont val="宋体"/>
        <charset val="134"/>
        <scheme val="minor"/>
      </rPr>
      <t>62 dd xx</t>
    </r>
  </si>
  <si>
    <r>
      <rPr>
        <sz val="9.75"/>
        <color rgb="FF0F1115"/>
        <rFont val="宋体"/>
        <charset val="134"/>
        <scheme val="minor"/>
      </rPr>
      <t>XRL direct, #data</t>
    </r>
  </si>
  <si>
    <r>
      <rPr>
        <sz val="11.25"/>
        <color rgb="FF0F1115"/>
        <rFont val="宋体"/>
        <charset val="134"/>
        <scheme val="minor"/>
      </rPr>
      <t>(direct)⊕#data→direct</t>
    </r>
  </si>
  <si>
    <r>
      <rPr>
        <sz val="9.75"/>
        <color rgb="FF0F1115"/>
        <rFont val="宋体"/>
        <charset val="134"/>
        <scheme val="minor"/>
      </rPr>
      <t>B2 dd</t>
    </r>
  </si>
  <si>
    <r>
      <rPr>
        <sz val="9.75"/>
        <color rgb="FF0F1115"/>
        <rFont val="宋体"/>
        <charset val="134"/>
        <scheme val="minor"/>
      </rPr>
      <t>CPL bit</t>
    </r>
  </si>
  <si>
    <r>
      <rPr>
        <sz val="11.25"/>
        <color rgb="FF0F1115"/>
        <rFont val="宋体"/>
        <charset val="134"/>
        <scheme val="minor"/>
      </rPr>
      <t>位取反</t>
    </r>
  </si>
  <si>
    <t>四、控制转移指令 (17条)</t>
  </si>
  <si>
    <t>4.1 无条件转移</t>
  </si>
  <si>
    <r>
      <rPr>
        <sz val="9.75"/>
        <color rgb="FF0F1115"/>
        <rFont val="宋体"/>
        <charset val="134"/>
        <scheme val="minor"/>
      </rPr>
      <t>02 xx xx</t>
    </r>
  </si>
  <si>
    <r>
      <rPr>
        <sz val="9.75"/>
        <color rgb="FF0F1115"/>
        <rFont val="宋体"/>
        <charset val="134"/>
        <scheme val="minor"/>
      </rPr>
      <t>LJMP addr16</t>
    </r>
  </si>
  <si>
    <r>
      <rPr>
        <sz val="11.25"/>
        <color rgb="FF0F1115"/>
        <rFont val="宋体"/>
        <charset val="134"/>
        <scheme val="minor"/>
      </rPr>
      <t>addr16→PC</t>
    </r>
  </si>
  <si>
    <r>
      <rPr>
        <sz val="9.75"/>
        <color rgb="FF0F1115"/>
        <rFont val="宋体"/>
        <charset val="134"/>
        <scheme val="minor"/>
      </rPr>
      <t>80 xx</t>
    </r>
  </si>
  <si>
    <r>
      <rPr>
        <sz val="9.75"/>
        <color rgb="FF0F1115"/>
        <rFont val="宋体"/>
        <charset val="134"/>
        <scheme val="minor"/>
      </rPr>
      <t>SJMP rel</t>
    </r>
  </si>
  <si>
    <r>
      <rPr>
        <sz val="11.25"/>
        <color rgb="FF0F1115"/>
        <rFont val="宋体"/>
        <charset val="134"/>
        <scheme val="minor"/>
      </rPr>
      <t>PC+rel→PC</t>
    </r>
  </si>
  <si>
    <t>JMP @A+DPTR</t>
  </si>
  <si>
    <r>
      <rPr>
        <sz val="11.25"/>
        <color rgb="FF0F1115"/>
        <rFont val="宋体"/>
        <charset val="134"/>
        <scheme val="minor"/>
      </rPr>
      <t>(A+DPTR)→PC</t>
    </r>
  </si>
  <si>
    <r>
      <rPr>
        <sz val="9.75"/>
        <color rgb="FF0F1115"/>
        <rFont val="宋体"/>
        <charset val="134"/>
        <scheme val="minor"/>
      </rPr>
      <t>12 xx xx</t>
    </r>
  </si>
  <si>
    <r>
      <rPr>
        <sz val="9.75"/>
        <color rgb="FF0F1115"/>
        <rFont val="宋体"/>
        <charset val="134"/>
        <scheme val="minor"/>
      </rPr>
      <t>LCALL addr16</t>
    </r>
  </si>
  <si>
    <r>
      <rPr>
        <sz val="11.25"/>
        <color rgb="FF0F1115"/>
        <rFont val="宋体"/>
        <charset val="134"/>
        <scheme val="minor"/>
      </rPr>
      <t>长调用</t>
    </r>
  </si>
  <si>
    <r>
      <rPr>
        <sz val="9.75"/>
        <color rgb="FF0F1115"/>
        <rFont val="宋体"/>
        <charset val="134"/>
        <scheme val="minor"/>
      </rPr>
      <t>D8~DF xx</t>
    </r>
  </si>
  <si>
    <r>
      <rPr>
        <sz val="9.75"/>
        <color rgb="FF0F1115"/>
        <rFont val="宋体"/>
        <charset val="134"/>
        <scheme val="minor"/>
      </rPr>
      <t>DJNZ Rn, rel</t>
    </r>
  </si>
  <si>
    <r>
      <rPr>
        <sz val="11.25"/>
        <color rgb="FF0F1115"/>
        <rFont val="宋体"/>
        <charset val="134"/>
        <scheme val="minor"/>
      </rPr>
      <t>Rn-1≠0则转移</t>
    </r>
  </si>
  <si>
    <t>4.2 条件转移</t>
  </si>
  <si>
    <r>
      <rPr>
        <sz val="9.75"/>
        <color rgb="FF0F1115"/>
        <rFont val="宋体"/>
        <charset val="134"/>
        <scheme val="minor"/>
      </rPr>
      <t>60 xx</t>
    </r>
  </si>
  <si>
    <r>
      <rPr>
        <sz val="9.75"/>
        <color rgb="FF0F1115"/>
        <rFont val="宋体"/>
        <charset val="134"/>
        <scheme val="minor"/>
      </rPr>
      <t>JZ rel</t>
    </r>
  </si>
  <si>
    <r>
      <rPr>
        <sz val="11.25"/>
        <color rgb="FF0F1115"/>
        <rFont val="宋体"/>
        <charset val="134"/>
        <scheme val="minor"/>
      </rPr>
      <t>A=0转移</t>
    </r>
  </si>
  <si>
    <r>
      <rPr>
        <sz val="9.75"/>
        <color rgb="FF0F1115"/>
        <rFont val="宋体"/>
        <charset val="134"/>
        <scheme val="minor"/>
      </rPr>
      <t>70 xx</t>
    </r>
  </si>
  <si>
    <r>
      <rPr>
        <sz val="9.75"/>
        <color rgb="FF0F1115"/>
        <rFont val="宋体"/>
        <charset val="134"/>
        <scheme val="minor"/>
      </rPr>
      <t>JNZ rel</t>
    </r>
  </si>
  <si>
    <r>
      <rPr>
        <sz val="11.25"/>
        <color rgb="FF0F1115"/>
        <rFont val="宋体"/>
        <charset val="134"/>
        <scheme val="minor"/>
      </rPr>
      <t>A≠0转移</t>
    </r>
  </si>
  <si>
    <r>
      <rPr>
        <sz val="9.75"/>
        <color rgb="FF0F1115"/>
        <rFont val="宋体"/>
        <charset val="134"/>
        <scheme val="minor"/>
      </rPr>
      <t>40 xx</t>
    </r>
  </si>
  <si>
    <r>
      <rPr>
        <sz val="9.75"/>
        <color rgb="FF0F1115"/>
        <rFont val="宋体"/>
        <charset val="134"/>
        <scheme val="minor"/>
      </rPr>
      <t>JC rel</t>
    </r>
  </si>
  <si>
    <r>
      <rPr>
        <sz val="11.25"/>
        <color rgb="FF0F1115"/>
        <rFont val="宋体"/>
        <charset val="134"/>
        <scheme val="minor"/>
      </rPr>
      <t>CY=1转移</t>
    </r>
  </si>
  <si>
    <r>
      <rPr>
        <sz val="9.75"/>
        <color rgb="FF0F1115"/>
        <rFont val="宋体"/>
        <charset val="134"/>
        <scheme val="minor"/>
      </rPr>
      <t>50 xx</t>
    </r>
  </si>
  <si>
    <r>
      <rPr>
        <sz val="9.75"/>
        <color rgb="FF0F1115"/>
        <rFont val="宋体"/>
        <charset val="134"/>
        <scheme val="minor"/>
      </rPr>
      <t>JNC rel</t>
    </r>
  </si>
  <si>
    <r>
      <rPr>
        <sz val="11.25"/>
        <color rgb="FF0F1115"/>
        <rFont val="宋体"/>
        <charset val="134"/>
        <scheme val="minor"/>
      </rPr>
      <t>CY=0转移</t>
    </r>
  </si>
  <si>
    <r>
      <rPr>
        <sz val="9.75"/>
        <color rgb="FF0F1115"/>
        <rFont val="宋体"/>
        <charset val="134"/>
        <scheme val="minor"/>
      </rPr>
      <t>20 xx</t>
    </r>
  </si>
  <si>
    <r>
      <rPr>
        <sz val="9.75"/>
        <color rgb="FF0F1115"/>
        <rFont val="宋体"/>
        <charset val="134"/>
        <scheme val="minor"/>
      </rPr>
      <t>JB bit, rel</t>
    </r>
  </si>
  <si>
    <r>
      <rPr>
        <sz val="11.25"/>
        <color rgb="FF0F1115"/>
        <rFont val="宋体"/>
        <charset val="134"/>
        <scheme val="minor"/>
      </rPr>
      <t>bit=1转移</t>
    </r>
  </si>
  <si>
    <r>
      <rPr>
        <sz val="9.75"/>
        <color rgb="FF0F1115"/>
        <rFont val="宋体"/>
        <charset val="134"/>
        <scheme val="minor"/>
      </rPr>
      <t>30 xx</t>
    </r>
  </si>
  <si>
    <r>
      <rPr>
        <sz val="9.75"/>
        <color rgb="FF0F1115"/>
        <rFont val="宋体"/>
        <charset val="134"/>
        <scheme val="minor"/>
      </rPr>
      <t>JNB bit, rel</t>
    </r>
  </si>
  <si>
    <r>
      <rPr>
        <sz val="11.25"/>
        <color rgb="FF0F1115"/>
        <rFont val="宋体"/>
        <charset val="134"/>
        <scheme val="minor"/>
      </rPr>
      <t>bit=0转移</t>
    </r>
  </si>
  <si>
    <r>
      <rPr>
        <sz val="9.75"/>
        <color rgb="FF0F1115"/>
        <rFont val="宋体"/>
        <charset val="134"/>
        <scheme val="minor"/>
      </rPr>
      <t>10 xx</t>
    </r>
  </si>
  <si>
    <r>
      <rPr>
        <sz val="9.75"/>
        <color rgb="FF0F1115"/>
        <rFont val="宋体"/>
        <charset val="134"/>
        <scheme val="minor"/>
      </rPr>
      <t>JBC bit, rel</t>
    </r>
  </si>
  <si>
    <r>
      <rPr>
        <sz val="11.25"/>
        <color rgb="FF0F1115"/>
        <rFont val="宋体"/>
        <charset val="134"/>
        <scheme val="minor"/>
      </rPr>
      <t>bit=1转移并清0</t>
    </r>
  </si>
  <si>
    <t>4.3 比较转移（STC特有扩展）</t>
  </si>
  <si>
    <r>
      <rPr>
        <sz val="9.75"/>
        <color rgb="FF0F1115"/>
        <rFont val="宋体"/>
        <charset val="134"/>
        <scheme val="minor"/>
      </rPr>
      <t>B5 dd xx</t>
    </r>
  </si>
  <si>
    <r>
      <rPr>
        <sz val="9.75"/>
        <color rgb="FF0F1115"/>
        <rFont val="宋体"/>
        <charset val="134"/>
        <scheme val="minor"/>
      </rPr>
      <t>CJNE A, direct, rel</t>
    </r>
  </si>
  <si>
    <r>
      <rPr>
        <sz val="11.25"/>
        <color rgb="FF0F1115"/>
        <rFont val="宋体"/>
        <charset val="134"/>
        <scheme val="minor"/>
      </rPr>
      <t>比较不相等转移</t>
    </r>
  </si>
  <si>
    <r>
      <rPr>
        <sz val="9.75"/>
        <color rgb="FF0F1115"/>
        <rFont val="宋体"/>
        <charset val="134"/>
        <scheme val="minor"/>
      </rPr>
      <t>B4 xx xx</t>
    </r>
  </si>
  <si>
    <r>
      <rPr>
        <sz val="9.75"/>
        <color rgb="FF0F1115"/>
        <rFont val="宋体"/>
        <charset val="134"/>
        <scheme val="minor"/>
      </rPr>
      <t>CJNE A, #data, rel</t>
    </r>
  </si>
  <si>
    <r>
      <rPr>
        <sz val="9.75"/>
        <color rgb="FF0F1115"/>
        <rFont val="宋体"/>
        <charset val="134"/>
        <scheme val="minor"/>
      </rPr>
      <t>B8~BF xx xx</t>
    </r>
  </si>
  <si>
    <r>
      <rPr>
        <sz val="9.75"/>
        <color rgb="FF0F1115"/>
        <rFont val="宋体"/>
        <charset val="134"/>
        <scheme val="minor"/>
      </rPr>
      <t>CJNE Rn, #data, rel</t>
    </r>
  </si>
  <si>
    <r>
      <rPr>
        <sz val="9.75"/>
        <color rgb="FF0F1115"/>
        <rFont val="宋体"/>
        <charset val="134"/>
        <scheme val="minor"/>
      </rPr>
      <t>B6~B7 xx xx</t>
    </r>
  </si>
  <si>
    <r>
      <rPr>
        <sz val="9.75"/>
        <color rgb="FF0F1115"/>
        <rFont val="宋体"/>
        <charset val="134"/>
        <scheme val="minor"/>
      </rPr>
      <t>CJNE @Ri, #data, rel</t>
    </r>
  </si>
  <si>
    <t>4.4 子程序返回</t>
  </si>
  <si>
    <r>
      <rPr>
        <sz val="9.75"/>
        <color rgb="FF0F1115"/>
        <rFont val="宋体"/>
        <charset val="134"/>
        <scheme val="minor"/>
      </rPr>
      <t>RET</t>
    </r>
  </si>
  <si>
    <r>
      <rPr>
        <sz val="11.25"/>
        <color rgb="FF0F1115"/>
        <rFont val="宋体"/>
        <charset val="134"/>
        <scheme val="minor"/>
      </rPr>
      <t>子程序返回</t>
    </r>
  </si>
  <si>
    <r>
      <rPr>
        <sz val="9.75"/>
        <color rgb="FF0F1115"/>
        <rFont val="宋体"/>
        <charset val="134"/>
        <scheme val="minor"/>
      </rPr>
      <t>RETI</t>
    </r>
  </si>
  <si>
    <r>
      <rPr>
        <sz val="11.25"/>
        <color rgb="FF0F1115"/>
        <rFont val="宋体"/>
        <charset val="134"/>
        <scheme val="minor"/>
      </rPr>
      <t>中断返回</t>
    </r>
  </si>
  <si>
    <t>4.5 空操作</t>
  </si>
  <si>
    <r>
      <rPr>
        <sz val="9.75"/>
        <color rgb="FF0F1115"/>
        <rFont val="宋体"/>
        <charset val="134"/>
        <scheme val="minor"/>
      </rPr>
      <t>NOP</t>
    </r>
  </si>
  <si>
    <r>
      <rPr>
        <sz val="11.25"/>
        <color rgb="FF0F1115"/>
        <rFont val="宋体"/>
        <charset val="134"/>
        <scheme val="minor"/>
      </rPr>
      <t>空操作</t>
    </r>
  </si>
  <si>
    <t>五、位操作指令 (17条)</t>
  </si>
  <si>
    <t>5.1 位传送</t>
  </si>
  <si>
    <r>
      <rPr>
        <sz val="9.75"/>
        <color rgb="FF0F1115"/>
        <rFont val="宋体"/>
        <charset val="134"/>
        <scheme val="minor"/>
      </rPr>
      <t>A2 dd</t>
    </r>
  </si>
  <si>
    <r>
      <rPr>
        <sz val="9.75"/>
        <color rgb="FF0F1115"/>
        <rFont val="宋体"/>
        <charset val="134"/>
        <scheme val="minor"/>
      </rPr>
      <t>MOV C, bit</t>
    </r>
  </si>
  <si>
    <r>
      <rPr>
        <sz val="11.25"/>
        <color rgb="FF0F1115"/>
        <rFont val="宋体"/>
        <charset val="134"/>
        <scheme val="minor"/>
      </rPr>
      <t>bit→CY</t>
    </r>
  </si>
  <si>
    <r>
      <rPr>
        <sz val="9.75"/>
        <color rgb="FF0F1115"/>
        <rFont val="宋体"/>
        <charset val="134"/>
        <scheme val="minor"/>
      </rPr>
      <t>92 dd</t>
    </r>
  </si>
  <si>
    <r>
      <rPr>
        <sz val="9.75"/>
        <color rgb="FF0F1115"/>
        <rFont val="宋体"/>
        <charset val="134"/>
        <scheme val="minor"/>
      </rPr>
      <t>MOV bit, C</t>
    </r>
  </si>
  <si>
    <r>
      <rPr>
        <sz val="11.25"/>
        <color rgb="FF0F1115"/>
        <rFont val="宋体"/>
        <charset val="134"/>
        <scheme val="minor"/>
      </rPr>
      <t>CY→bit</t>
    </r>
  </si>
  <si>
    <t>5.2 位逻辑</t>
  </si>
  <si>
    <r>
      <rPr>
        <sz val="9.75"/>
        <color rgb="FF0F1115"/>
        <rFont val="宋体"/>
        <charset val="134"/>
        <scheme val="minor"/>
      </rPr>
      <t>82 dd</t>
    </r>
  </si>
  <si>
    <r>
      <rPr>
        <sz val="9.75"/>
        <color rgb="FF0F1115"/>
        <rFont val="宋体"/>
        <charset val="134"/>
        <scheme val="minor"/>
      </rPr>
      <t>ANL C, bit</t>
    </r>
  </si>
  <si>
    <r>
      <rPr>
        <sz val="11.25"/>
        <color rgb="FF0F1115"/>
        <rFont val="宋体"/>
        <charset val="134"/>
        <scheme val="minor"/>
      </rPr>
      <t>CY∧bit→CY</t>
    </r>
  </si>
  <si>
    <r>
      <rPr>
        <sz val="9.75"/>
        <color rgb="FF0F1115"/>
        <rFont val="宋体"/>
        <charset val="134"/>
        <scheme val="minor"/>
      </rPr>
      <t>B0 dd</t>
    </r>
  </si>
  <si>
    <r>
      <rPr>
        <sz val="9.75"/>
        <color rgb="FF0F1115"/>
        <rFont val="宋体"/>
        <charset val="134"/>
        <scheme val="minor"/>
      </rPr>
      <t>ANL C, /bit</t>
    </r>
  </si>
  <si>
    <r>
      <rPr>
        <sz val="11.25"/>
        <color rgb="FF0F1115"/>
        <rFont val="宋体"/>
        <charset val="134"/>
        <scheme val="minor"/>
      </rPr>
      <t>CY∧(/bit)→CY</t>
    </r>
  </si>
  <si>
    <r>
      <rPr>
        <sz val="9.75"/>
        <color rgb="FF0F1115"/>
        <rFont val="宋体"/>
        <charset val="134"/>
        <scheme val="minor"/>
      </rPr>
      <t>72 dd</t>
    </r>
  </si>
  <si>
    <r>
      <rPr>
        <sz val="9.75"/>
        <color rgb="FF0F1115"/>
        <rFont val="宋体"/>
        <charset val="134"/>
        <scheme val="minor"/>
      </rPr>
      <t>ORL C, bit</t>
    </r>
  </si>
  <si>
    <r>
      <rPr>
        <sz val="11.25"/>
        <color rgb="FF0F1115"/>
        <rFont val="宋体"/>
        <charset val="134"/>
        <scheme val="minor"/>
      </rPr>
      <t>CY∨bit→CY</t>
    </r>
  </si>
  <si>
    <r>
      <rPr>
        <sz val="9.75"/>
        <color rgb="FF0F1115"/>
        <rFont val="宋体"/>
        <charset val="134"/>
        <scheme val="minor"/>
      </rPr>
      <t>A0 dd</t>
    </r>
  </si>
  <si>
    <r>
      <rPr>
        <sz val="9.75"/>
        <color rgb="FF0F1115"/>
        <rFont val="宋体"/>
        <charset val="134"/>
        <scheme val="minor"/>
      </rPr>
      <t>ORL C, /bit</t>
    </r>
  </si>
  <si>
    <t>CY∨(/bit)→CY</t>
  </si>
  <si>
    <t>5.3 位设置/清除</t>
  </si>
  <si>
    <r>
      <rPr>
        <sz val="9.75"/>
        <color rgb="FF0F1115"/>
        <rFont val="宋体"/>
        <charset val="134"/>
        <scheme val="minor"/>
      </rPr>
      <t>C3</t>
    </r>
  </si>
  <si>
    <r>
      <rPr>
        <sz val="9.75"/>
        <color rgb="FF0F1115"/>
        <rFont val="宋体"/>
        <charset val="134"/>
        <scheme val="minor"/>
      </rPr>
      <t>CLR C</t>
    </r>
  </si>
  <si>
    <r>
      <rPr>
        <sz val="11.25"/>
        <color rgb="FF0F1115"/>
        <rFont val="宋体"/>
        <charset val="134"/>
        <scheme val="minor"/>
      </rPr>
      <t>0→CY</t>
    </r>
  </si>
  <si>
    <r>
      <rPr>
        <sz val="9.75"/>
        <color rgb="FF0F1115"/>
        <rFont val="宋体"/>
        <charset val="134"/>
        <scheme val="minor"/>
      </rPr>
      <t>C2 dd</t>
    </r>
  </si>
  <si>
    <r>
      <rPr>
        <sz val="9.75"/>
        <color rgb="FF0F1115"/>
        <rFont val="宋体"/>
        <charset val="134"/>
        <scheme val="minor"/>
      </rPr>
      <t>CLR bit</t>
    </r>
  </si>
  <si>
    <r>
      <rPr>
        <sz val="11.25"/>
        <color rgb="FF0F1115"/>
        <rFont val="宋体"/>
        <charset val="134"/>
        <scheme val="minor"/>
      </rPr>
      <t>0→bit</t>
    </r>
  </si>
  <si>
    <r>
      <rPr>
        <sz val="9.75"/>
        <color rgb="FF0F1115"/>
        <rFont val="宋体"/>
        <charset val="134"/>
        <scheme val="minor"/>
      </rPr>
      <t>D3</t>
    </r>
  </si>
  <si>
    <r>
      <rPr>
        <sz val="9.75"/>
        <color rgb="FF0F1115"/>
        <rFont val="宋体"/>
        <charset val="134"/>
        <scheme val="minor"/>
      </rPr>
      <t>SETB C</t>
    </r>
  </si>
  <si>
    <r>
      <rPr>
        <sz val="11.25"/>
        <color rgb="FF0F1115"/>
        <rFont val="宋体"/>
        <charset val="134"/>
        <scheme val="minor"/>
      </rPr>
      <t>1→CY</t>
    </r>
  </si>
  <si>
    <r>
      <rPr>
        <sz val="9.75"/>
        <color rgb="FF0F1115"/>
        <rFont val="宋体"/>
        <charset val="134"/>
        <scheme val="minor"/>
      </rPr>
      <t>D2 dd</t>
    </r>
  </si>
  <si>
    <r>
      <rPr>
        <sz val="9.75"/>
        <color rgb="FF0F1115"/>
        <rFont val="宋体"/>
        <charset val="134"/>
        <scheme val="minor"/>
      </rPr>
      <t>SETB bit</t>
    </r>
  </si>
  <si>
    <r>
      <rPr>
        <sz val="11.25"/>
        <color rgb="FF0F1115"/>
        <rFont val="宋体"/>
        <charset val="134"/>
        <scheme val="minor"/>
      </rPr>
      <t>1→bit</t>
    </r>
  </si>
  <si>
    <t>地址范围</t>
  </si>
  <si>
    <t>类型</t>
  </si>
  <si>
    <r>
      <rPr>
        <sz val="11.25"/>
        <color rgb="FF0F1115"/>
        <rFont val="宋体"/>
        <charset val="134"/>
        <scheme val="minor"/>
      </rPr>
      <t>80H~FFH</t>
    </r>
  </si>
  <si>
    <r>
      <rPr>
        <sz val="11.25"/>
        <color rgb="FF0F1115"/>
        <rFont val="宋体"/>
        <charset val="134"/>
        <scheme val="minor"/>
      </rPr>
      <t>SFR空间</t>
    </r>
  </si>
  <si>
    <r>
      <rPr>
        <sz val="11.25"/>
        <color rgb="FF0F1115"/>
        <rFont val="宋体"/>
        <charset val="134"/>
        <scheme val="minor"/>
      </rPr>
      <t>特殊功能寄存器（可直接寻址）</t>
    </r>
  </si>
  <si>
    <r>
      <rPr>
        <sz val="11.25"/>
        <color rgb="FF0F1115"/>
        <rFont val="宋体"/>
        <charset val="134"/>
        <scheme val="minor"/>
      </rPr>
      <t>00H~7FH</t>
    </r>
  </si>
  <si>
    <r>
      <rPr>
        <sz val="11.25"/>
        <color rgb="FF0F1115"/>
        <rFont val="宋体"/>
        <charset val="134"/>
        <scheme val="minor"/>
      </rPr>
      <t>内部RAM</t>
    </r>
  </si>
  <si>
    <r>
      <rPr>
        <sz val="11.25"/>
        <color rgb="FF0F1115"/>
        <rFont val="宋体"/>
        <charset val="134"/>
        <scheme val="minor"/>
      </rPr>
      <t>低128字节（含工作寄存器组）</t>
    </r>
  </si>
  <si>
    <r>
      <rPr>
        <sz val="11.25"/>
        <color rgb="FF0F1115"/>
        <rFont val="宋体"/>
        <charset val="134"/>
        <scheme val="minor"/>
      </rPr>
      <t>高128字节（间接寻址）</t>
    </r>
  </si>
  <si>
    <r>
      <rPr>
        <sz val="11.25"/>
        <color rgb="FF0F1115"/>
        <rFont val="宋体"/>
        <charset val="134"/>
        <scheme val="minor"/>
      </rPr>
      <t>0000H~FFFFH</t>
    </r>
  </si>
  <si>
    <r>
      <rPr>
        <sz val="11.25"/>
        <color rgb="FF0F1115"/>
        <rFont val="宋体"/>
        <charset val="134"/>
        <scheme val="minor"/>
      </rPr>
      <t>程序存储器</t>
    </r>
  </si>
  <si>
    <r>
      <rPr>
        <sz val="11.25"/>
        <color rgb="FF0F1115"/>
        <rFont val="宋体"/>
        <charset val="134"/>
        <scheme val="minor"/>
      </rPr>
      <t>8KB/12KB/16KB等（型号相关）</t>
    </r>
  </si>
  <si>
    <r>
      <rPr>
        <sz val="11.25"/>
        <color rgb="FF0F1115"/>
        <rFont val="宋体"/>
        <charset val="134"/>
        <scheme val="minor"/>
      </rPr>
      <t>地址</t>
    </r>
  </si>
  <si>
    <r>
      <rPr>
        <sz val="11.25"/>
        <color rgb="FF0F1115"/>
        <rFont val="宋体"/>
        <charset val="134"/>
        <scheme val="minor"/>
      </rPr>
      <t>寄存器名</t>
    </r>
  </si>
  <si>
    <r>
      <rPr>
        <sz val="11.25"/>
        <color rgb="FF0F1115"/>
        <rFont val="宋体"/>
        <charset val="134"/>
        <scheme val="minor"/>
      </rPr>
      <t>复位值</t>
    </r>
  </si>
  <si>
    <r>
      <rPr>
        <sz val="11.25"/>
        <color rgb="FF0F1115"/>
        <rFont val="宋体"/>
        <charset val="134"/>
        <scheme val="minor"/>
      </rPr>
      <t>位定义（D7→D0）</t>
    </r>
  </si>
  <si>
    <t>功能说明</t>
  </si>
  <si>
    <r>
      <rPr>
        <sz val="11.25"/>
        <color rgb="FF0F1115"/>
        <rFont val="宋体"/>
        <charset val="134"/>
        <scheme val="minor"/>
      </rPr>
      <t>80H</t>
    </r>
  </si>
  <si>
    <r>
      <rPr>
        <sz val="11.25"/>
        <color rgb="FF0F1115"/>
        <rFont val="宋体"/>
        <charset val="134"/>
        <scheme val="minor"/>
      </rPr>
      <t>P0</t>
    </r>
  </si>
  <si>
    <r>
      <rPr>
        <sz val="11.25"/>
        <color rgb="FF0F1115"/>
        <rFont val="宋体"/>
        <charset val="134"/>
        <scheme val="minor"/>
      </rPr>
      <t>FFH</t>
    </r>
  </si>
  <si>
    <r>
      <rPr>
        <sz val="11.25"/>
        <color rgb="FF0F1115"/>
        <rFont val="宋体"/>
        <charset val="134"/>
        <scheme val="minor"/>
      </rPr>
      <t>P0.7</t>
    </r>
  </si>
  <si>
    <r>
      <rPr>
        <sz val="11.25"/>
        <color rgb="FF0F1115"/>
        <rFont val="宋体"/>
        <charset val="134"/>
        <scheme val="minor"/>
      </rPr>
      <t>P0.6</t>
    </r>
  </si>
  <si>
    <r>
      <rPr>
        <sz val="11.25"/>
        <color rgb="FF0F1115"/>
        <rFont val="宋体"/>
        <charset val="134"/>
        <scheme val="minor"/>
      </rPr>
      <t>P0.5</t>
    </r>
  </si>
  <si>
    <r>
      <rPr>
        <sz val="11.25"/>
        <color rgb="FF0F1115"/>
        <rFont val="宋体"/>
        <charset val="134"/>
        <scheme val="minor"/>
      </rPr>
      <t>P0.4</t>
    </r>
  </si>
  <si>
    <r>
      <rPr>
        <sz val="11.25"/>
        <color rgb="FF0F1115"/>
        <rFont val="宋体"/>
        <charset val="134"/>
        <scheme val="minor"/>
      </rPr>
      <t>P0.3</t>
    </r>
  </si>
  <si>
    <r>
      <rPr>
        <sz val="11.25"/>
        <color rgb="FF0F1115"/>
        <rFont val="宋体"/>
        <charset val="134"/>
        <scheme val="minor"/>
      </rPr>
      <t>P0.2</t>
    </r>
  </si>
  <si>
    <r>
      <rPr>
        <sz val="11.25"/>
        <color rgb="FF0F1115"/>
        <rFont val="宋体"/>
        <charset val="134"/>
        <scheme val="minor"/>
      </rPr>
      <t>P0.1</t>
    </r>
  </si>
  <si>
    <r>
      <rPr>
        <sz val="11.25"/>
        <color rgb="FF0F1115"/>
        <rFont val="宋体"/>
        <charset val="134"/>
        <scheme val="minor"/>
      </rPr>
      <t>P0.0</t>
    </r>
  </si>
  <si>
    <r>
      <rPr>
        <sz val="11.25"/>
        <color rgb="FF0F1115"/>
        <rFont val="宋体"/>
        <charset val="134"/>
        <scheme val="minor"/>
      </rPr>
      <t>端口0</t>
    </r>
    <r>
      <rPr>
        <sz val="11.25"/>
        <color rgb="FF0F1115"/>
        <rFont val="宋体"/>
        <charset val="134"/>
        <scheme val="minor"/>
      </rPr>
      <t>，开漏输出</t>
    </r>
  </si>
  <si>
    <r>
      <rPr>
        <sz val="11.25"/>
        <color rgb="FF0F1115"/>
        <rFont val="宋体"/>
        <charset val="134"/>
        <scheme val="minor"/>
      </rPr>
      <t>81H</t>
    </r>
  </si>
  <si>
    <r>
      <rPr>
        <sz val="11.25"/>
        <color rgb="FF0F1115"/>
        <rFont val="宋体"/>
        <charset val="134"/>
        <scheme val="minor"/>
      </rPr>
      <t>SP</t>
    </r>
  </si>
  <si>
    <r>
      <rPr>
        <sz val="11.25"/>
        <color rgb="FF0F1115"/>
        <rFont val="宋体"/>
        <charset val="134"/>
        <scheme val="minor"/>
      </rPr>
      <t>07H</t>
    </r>
  </si>
  <si>
    <r>
      <rPr>
        <sz val="11.25"/>
        <color rgb="FF0F1115"/>
        <rFont val="宋体"/>
        <charset val="134"/>
        <scheme val="minor"/>
      </rPr>
      <t>-</t>
    </r>
  </si>
  <si>
    <r>
      <rPr>
        <sz val="11.25"/>
        <color rgb="FF0F1115"/>
        <rFont val="宋体"/>
        <charset val="134"/>
        <scheme val="minor"/>
      </rPr>
      <t>堆栈指针</t>
    </r>
    <r>
      <rPr>
        <sz val="11.25"/>
        <color rgb="FF0F1115"/>
        <rFont val="宋体"/>
        <charset val="134"/>
        <scheme val="minor"/>
      </rPr>
      <t>（默认07H）</t>
    </r>
  </si>
  <si>
    <r>
      <rPr>
        <sz val="11.25"/>
        <color rgb="FF0F1115"/>
        <rFont val="宋体"/>
        <charset val="134"/>
        <scheme val="minor"/>
      </rPr>
      <t>82H</t>
    </r>
  </si>
  <si>
    <r>
      <rPr>
        <sz val="11.25"/>
        <color rgb="FF0F1115"/>
        <rFont val="宋体"/>
        <charset val="134"/>
        <scheme val="minor"/>
      </rPr>
      <t>DPL</t>
    </r>
  </si>
  <si>
    <r>
      <rPr>
        <sz val="11.25"/>
        <color rgb="FF0F1115"/>
        <rFont val="宋体"/>
        <charset val="134"/>
        <scheme val="minor"/>
      </rPr>
      <t>00H</t>
    </r>
  </si>
  <si>
    <r>
      <rPr>
        <sz val="11.25"/>
        <color rgb="FF0F1115"/>
        <rFont val="宋体"/>
        <charset val="134"/>
        <scheme val="minor"/>
      </rPr>
      <t>DPL[7:0]</t>
    </r>
  </si>
  <si>
    <r>
      <rPr>
        <sz val="11.25"/>
        <color rgb="FF0F1115"/>
        <rFont val="宋体"/>
        <charset val="134"/>
        <scheme val="minor"/>
      </rPr>
      <t>数据指针低8位</t>
    </r>
  </si>
  <si>
    <r>
      <rPr>
        <sz val="11.25"/>
        <color rgb="FF0F1115"/>
        <rFont val="宋体"/>
        <charset val="134"/>
        <scheme val="minor"/>
      </rPr>
      <t>83H</t>
    </r>
  </si>
  <si>
    <r>
      <rPr>
        <sz val="11.25"/>
        <color rgb="FF0F1115"/>
        <rFont val="宋体"/>
        <charset val="134"/>
        <scheme val="minor"/>
      </rPr>
      <t>DPH</t>
    </r>
  </si>
  <si>
    <r>
      <rPr>
        <sz val="11.25"/>
        <color rgb="FF0F1115"/>
        <rFont val="宋体"/>
        <charset val="134"/>
        <scheme val="minor"/>
      </rPr>
      <t>DPH[7:0]</t>
    </r>
  </si>
  <si>
    <r>
      <rPr>
        <sz val="11.25"/>
        <color rgb="FF0F1115"/>
        <rFont val="宋体"/>
        <charset val="134"/>
        <scheme val="minor"/>
      </rPr>
      <t>数据指针高8位</t>
    </r>
  </si>
  <si>
    <r>
      <rPr>
        <sz val="11.25"/>
        <color rgb="FF0F1115"/>
        <rFont val="宋体"/>
        <charset val="134"/>
        <scheme val="minor"/>
      </rPr>
      <t>87H</t>
    </r>
  </si>
  <si>
    <r>
      <rPr>
        <sz val="11.25"/>
        <color rgb="FF0F1115"/>
        <rFont val="宋体"/>
        <charset val="134"/>
        <scheme val="minor"/>
      </rPr>
      <t>PCON</t>
    </r>
  </si>
  <si>
    <r>
      <rPr>
        <sz val="11.25"/>
        <color rgb="FF0F1115"/>
        <rFont val="宋体"/>
        <charset val="134"/>
        <scheme val="minor"/>
      </rPr>
      <t>SMOD</t>
    </r>
  </si>
  <si>
    <r>
      <rPr>
        <sz val="11.25"/>
        <color rgb="FF0F1115"/>
        <rFont val="宋体"/>
        <charset val="134"/>
        <scheme val="minor"/>
      </rPr>
      <t>POF</t>
    </r>
  </si>
  <si>
    <r>
      <rPr>
        <sz val="11.25"/>
        <color rgb="FF0F1115"/>
        <rFont val="宋体"/>
        <charset val="134"/>
        <scheme val="minor"/>
      </rPr>
      <t>GF1</t>
    </r>
  </si>
  <si>
    <r>
      <rPr>
        <sz val="11.25"/>
        <color rgb="FF0F1115"/>
        <rFont val="宋体"/>
        <charset val="134"/>
        <scheme val="minor"/>
      </rPr>
      <t>GF0</t>
    </r>
  </si>
  <si>
    <r>
      <rPr>
        <sz val="11.25"/>
        <color rgb="FF0F1115"/>
        <rFont val="宋体"/>
        <charset val="134"/>
        <scheme val="minor"/>
      </rPr>
      <t>PD</t>
    </r>
  </si>
  <si>
    <r>
      <rPr>
        <sz val="11.25"/>
        <color rgb="FF0F1115"/>
        <rFont val="宋体"/>
        <charset val="134"/>
        <scheme val="minor"/>
      </rPr>
      <t>IDL</t>
    </r>
  </si>
  <si>
    <r>
      <rPr>
        <sz val="11.25"/>
        <color rgb="FF0F1115"/>
        <rFont val="宋体"/>
        <charset val="134"/>
        <scheme val="minor"/>
      </rPr>
      <t>电源控制</t>
    </r>
  </si>
  <si>
    <r>
      <rPr>
        <sz val="11.25"/>
        <color rgb="FF0F1115"/>
        <rFont val="宋体"/>
        <charset val="134"/>
        <scheme val="minor"/>
      </rPr>
      <t>88H</t>
    </r>
  </si>
  <si>
    <r>
      <rPr>
        <sz val="11.25"/>
        <color rgb="FF0F1115"/>
        <rFont val="宋体"/>
        <charset val="134"/>
        <scheme val="minor"/>
      </rPr>
      <t>TCON</t>
    </r>
  </si>
  <si>
    <r>
      <rPr>
        <sz val="11.25"/>
        <color rgb="FF0F1115"/>
        <rFont val="宋体"/>
        <charset val="134"/>
        <scheme val="minor"/>
      </rPr>
      <t>TF1</t>
    </r>
  </si>
  <si>
    <r>
      <rPr>
        <sz val="11.25"/>
        <color rgb="FF0F1115"/>
        <rFont val="宋体"/>
        <charset val="134"/>
        <scheme val="minor"/>
      </rPr>
      <t>TR1</t>
    </r>
  </si>
  <si>
    <r>
      <rPr>
        <sz val="11.25"/>
        <color rgb="FF0F1115"/>
        <rFont val="宋体"/>
        <charset val="134"/>
        <scheme val="minor"/>
      </rPr>
      <t>TF0</t>
    </r>
  </si>
  <si>
    <r>
      <rPr>
        <sz val="11.25"/>
        <color rgb="FF0F1115"/>
        <rFont val="宋体"/>
        <charset val="134"/>
        <scheme val="minor"/>
      </rPr>
      <t>TR0</t>
    </r>
  </si>
  <si>
    <r>
      <rPr>
        <sz val="11.25"/>
        <color rgb="FF0F1115"/>
        <rFont val="宋体"/>
        <charset val="134"/>
        <scheme val="minor"/>
      </rPr>
      <t>IE1</t>
    </r>
  </si>
  <si>
    <r>
      <rPr>
        <sz val="11.25"/>
        <color rgb="FF0F1115"/>
        <rFont val="宋体"/>
        <charset val="134"/>
        <scheme val="minor"/>
      </rPr>
      <t>IT1</t>
    </r>
  </si>
  <si>
    <r>
      <rPr>
        <sz val="11.25"/>
        <color rgb="FF0F1115"/>
        <rFont val="宋体"/>
        <charset val="134"/>
        <scheme val="minor"/>
      </rPr>
      <t>IE0</t>
    </r>
  </si>
  <si>
    <r>
      <rPr>
        <sz val="11.25"/>
        <color rgb="FF0F1115"/>
        <rFont val="宋体"/>
        <charset val="134"/>
        <scheme val="minor"/>
      </rPr>
      <t>IT0</t>
    </r>
  </si>
  <si>
    <r>
      <rPr>
        <sz val="11.25"/>
        <color rgb="FF0F1115"/>
        <rFont val="宋体"/>
        <charset val="134"/>
        <scheme val="minor"/>
      </rPr>
      <t>定时器控制</t>
    </r>
  </si>
  <si>
    <r>
      <rPr>
        <sz val="11.25"/>
        <color rgb="FF0F1115"/>
        <rFont val="宋体"/>
        <charset val="134"/>
        <scheme val="minor"/>
      </rPr>
      <t>89H</t>
    </r>
  </si>
  <si>
    <r>
      <rPr>
        <sz val="11.25"/>
        <color rgb="FF0F1115"/>
        <rFont val="宋体"/>
        <charset val="134"/>
        <scheme val="minor"/>
      </rPr>
      <t>TMOD</t>
    </r>
  </si>
  <si>
    <r>
      <rPr>
        <sz val="11.25"/>
        <color rgb="FF0F1115"/>
        <rFont val="宋体"/>
        <charset val="134"/>
        <scheme val="minor"/>
      </rPr>
      <t>GATE</t>
    </r>
  </si>
  <si>
    <r>
      <rPr>
        <sz val="11.25"/>
        <color rgb="FF0F1115"/>
        <rFont val="宋体"/>
        <charset val="134"/>
        <scheme val="minor"/>
      </rPr>
      <t>C/T</t>
    </r>
  </si>
  <si>
    <r>
      <rPr>
        <sz val="11.25"/>
        <color rgb="FF0F1115"/>
        <rFont val="宋体"/>
        <charset val="134"/>
        <scheme val="minor"/>
      </rPr>
      <t>M1</t>
    </r>
  </si>
  <si>
    <r>
      <rPr>
        <sz val="11.25"/>
        <color rgb="FF0F1115"/>
        <rFont val="宋体"/>
        <charset val="134"/>
        <scheme val="minor"/>
      </rPr>
      <t>M0</t>
    </r>
  </si>
  <si>
    <r>
      <rPr>
        <sz val="11.25"/>
        <color rgb="FF0F1115"/>
        <rFont val="宋体"/>
        <charset val="134"/>
        <scheme val="minor"/>
      </rPr>
      <t>定时器模式</t>
    </r>
  </si>
  <si>
    <r>
      <rPr>
        <sz val="11.25"/>
        <color rgb="FF0F1115"/>
        <rFont val="宋体"/>
        <charset val="134"/>
        <scheme val="minor"/>
      </rPr>
      <t>8AH</t>
    </r>
  </si>
  <si>
    <r>
      <rPr>
        <sz val="11.25"/>
        <color rgb="FF0F1115"/>
        <rFont val="宋体"/>
        <charset val="134"/>
        <scheme val="minor"/>
      </rPr>
      <t>TL0</t>
    </r>
  </si>
  <si>
    <r>
      <rPr>
        <sz val="11.25"/>
        <color rgb="FF0F1115"/>
        <rFont val="宋体"/>
        <charset val="134"/>
        <scheme val="minor"/>
      </rPr>
      <t>TL0[7:0]</t>
    </r>
  </si>
  <si>
    <r>
      <rPr>
        <sz val="11.25"/>
        <color rgb="FF0F1115"/>
        <rFont val="宋体"/>
        <charset val="134"/>
        <scheme val="minor"/>
      </rPr>
      <t>定时器0低字节</t>
    </r>
  </si>
  <si>
    <r>
      <rPr>
        <sz val="11.25"/>
        <color rgb="FF0F1115"/>
        <rFont val="宋体"/>
        <charset val="134"/>
        <scheme val="minor"/>
      </rPr>
      <t>8BH</t>
    </r>
  </si>
  <si>
    <r>
      <rPr>
        <sz val="11.25"/>
        <color rgb="FF0F1115"/>
        <rFont val="宋体"/>
        <charset val="134"/>
        <scheme val="minor"/>
      </rPr>
      <t>TL1</t>
    </r>
  </si>
  <si>
    <r>
      <rPr>
        <sz val="11.25"/>
        <color rgb="FF0F1115"/>
        <rFont val="宋体"/>
        <charset val="134"/>
        <scheme val="minor"/>
      </rPr>
      <t>TL1[7:0]</t>
    </r>
  </si>
  <si>
    <r>
      <rPr>
        <sz val="11.25"/>
        <color rgb="FF0F1115"/>
        <rFont val="宋体"/>
        <charset val="134"/>
        <scheme val="minor"/>
      </rPr>
      <t>定时器1低字节</t>
    </r>
  </si>
  <si>
    <r>
      <rPr>
        <sz val="11.25"/>
        <color rgb="FF0F1115"/>
        <rFont val="宋体"/>
        <charset val="134"/>
        <scheme val="minor"/>
      </rPr>
      <t>8CH</t>
    </r>
  </si>
  <si>
    <r>
      <rPr>
        <sz val="11.25"/>
        <color rgb="FF0F1115"/>
        <rFont val="宋体"/>
        <charset val="134"/>
        <scheme val="minor"/>
      </rPr>
      <t>TH0</t>
    </r>
  </si>
  <si>
    <r>
      <rPr>
        <sz val="11.25"/>
        <color rgb="FF0F1115"/>
        <rFont val="宋体"/>
        <charset val="134"/>
        <scheme val="minor"/>
      </rPr>
      <t>TH0[7:0]</t>
    </r>
  </si>
  <si>
    <r>
      <rPr>
        <sz val="11.25"/>
        <color rgb="FF0F1115"/>
        <rFont val="宋体"/>
        <charset val="134"/>
        <scheme val="minor"/>
      </rPr>
      <t>定时器0高字节</t>
    </r>
  </si>
  <si>
    <r>
      <rPr>
        <sz val="11.25"/>
        <color rgb="FF0F1115"/>
        <rFont val="宋体"/>
        <charset val="134"/>
        <scheme val="minor"/>
      </rPr>
      <t>8DH</t>
    </r>
  </si>
  <si>
    <r>
      <rPr>
        <sz val="11.25"/>
        <color rgb="FF0F1115"/>
        <rFont val="宋体"/>
        <charset val="134"/>
        <scheme val="minor"/>
      </rPr>
      <t>TH1</t>
    </r>
  </si>
  <si>
    <r>
      <rPr>
        <sz val="11.25"/>
        <color rgb="FF0F1115"/>
        <rFont val="宋体"/>
        <charset val="134"/>
        <scheme val="minor"/>
      </rPr>
      <t>TH1[7:0]</t>
    </r>
  </si>
  <si>
    <r>
      <rPr>
        <sz val="11.25"/>
        <color rgb="FF0F1115"/>
        <rFont val="宋体"/>
        <charset val="134"/>
        <scheme val="minor"/>
      </rPr>
      <t>定时器1高字节</t>
    </r>
  </si>
  <si>
    <r>
      <rPr>
        <sz val="11.25"/>
        <color rgb="FF0F1115"/>
        <rFont val="宋体"/>
        <charset val="134"/>
        <scheme val="minor"/>
      </rPr>
      <t>90H</t>
    </r>
  </si>
  <si>
    <r>
      <rPr>
        <sz val="11.25"/>
        <color rgb="FF0F1115"/>
        <rFont val="宋体"/>
        <charset val="134"/>
        <scheme val="minor"/>
      </rPr>
      <t>P1</t>
    </r>
  </si>
  <si>
    <r>
      <rPr>
        <sz val="11.25"/>
        <color rgb="FF0F1115"/>
        <rFont val="宋体"/>
        <charset val="134"/>
        <scheme val="minor"/>
      </rPr>
      <t>P1.7</t>
    </r>
  </si>
  <si>
    <r>
      <rPr>
        <sz val="11.25"/>
        <color rgb="FF0F1115"/>
        <rFont val="宋体"/>
        <charset val="134"/>
        <scheme val="minor"/>
      </rPr>
      <t>P1.6</t>
    </r>
  </si>
  <si>
    <r>
      <rPr>
        <sz val="11.25"/>
        <color rgb="FF0F1115"/>
        <rFont val="宋体"/>
        <charset val="134"/>
        <scheme val="minor"/>
      </rPr>
      <t>P1.5</t>
    </r>
  </si>
  <si>
    <r>
      <rPr>
        <sz val="11.25"/>
        <color rgb="FF0F1115"/>
        <rFont val="宋体"/>
        <charset val="134"/>
        <scheme val="minor"/>
      </rPr>
      <t>P1.4</t>
    </r>
  </si>
  <si>
    <r>
      <rPr>
        <sz val="11.25"/>
        <color rgb="FF0F1115"/>
        <rFont val="宋体"/>
        <charset val="134"/>
        <scheme val="minor"/>
      </rPr>
      <t>P1.3</t>
    </r>
  </si>
  <si>
    <r>
      <rPr>
        <sz val="11.25"/>
        <color rgb="FF0F1115"/>
        <rFont val="宋体"/>
        <charset val="134"/>
        <scheme val="minor"/>
      </rPr>
      <t>P1.2</t>
    </r>
  </si>
  <si>
    <r>
      <rPr>
        <sz val="11.25"/>
        <color rgb="FF0F1115"/>
        <rFont val="宋体"/>
        <charset val="134"/>
        <scheme val="minor"/>
      </rPr>
      <t>P1.1</t>
    </r>
  </si>
  <si>
    <r>
      <rPr>
        <sz val="11.25"/>
        <color rgb="FF0F1115"/>
        <rFont val="宋体"/>
        <charset val="134"/>
        <scheme val="minor"/>
      </rPr>
      <t>P1.0</t>
    </r>
  </si>
  <si>
    <r>
      <rPr>
        <sz val="11.25"/>
        <color rgb="FF0F1115"/>
        <rFont val="宋体"/>
        <charset val="134"/>
        <scheme val="minor"/>
      </rPr>
      <t>端口1</t>
    </r>
    <r>
      <rPr>
        <sz val="11.25"/>
        <color rgb="FF0F1115"/>
        <rFont val="宋体"/>
        <charset val="134"/>
        <scheme val="minor"/>
      </rPr>
      <t>（准双向）</t>
    </r>
  </si>
  <si>
    <r>
      <rPr>
        <sz val="11.25"/>
        <color rgb="FF0F1115"/>
        <rFont val="宋体"/>
        <charset val="134"/>
        <scheme val="minor"/>
      </rPr>
      <t>98H</t>
    </r>
  </si>
  <si>
    <r>
      <rPr>
        <sz val="11.25"/>
        <color rgb="FF0F1115"/>
        <rFont val="宋体"/>
        <charset val="134"/>
        <scheme val="minor"/>
      </rPr>
      <t>SCON</t>
    </r>
  </si>
  <si>
    <r>
      <rPr>
        <sz val="11.25"/>
        <color rgb="FF0F1115"/>
        <rFont val="宋体"/>
        <charset val="134"/>
        <scheme val="minor"/>
      </rPr>
      <t>SM0</t>
    </r>
  </si>
  <si>
    <r>
      <rPr>
        <sz val="11.25"/>
        <color rgb="FF0F1115"/>
        <rFont val="宋体"/>
        <charset val="134"/>
        <scheme val="minor"/>
      </rPr>
      <t>SM1</t>
    </r>
  </si>
  <si>
    <r>
      <rPr>
        <sz val="11.25"/>
        <color rgb="FF0F1115"/>
        <rFont val="宋体"/>
        <charset val="134"/>
        <scheme val="minor"/>
      </rPr>
      <t>SM2</t>
    </r>
  </si>
  <si>
    <r>
      <rPr>
        <sz val="11.25"/>
        <color rgb="FF0F1115"/>
        <rFont val="宋体"/>
        <charset val="134"/>
        <scheme val="minor"/>
      </rPr>
      <t>REN</t>
    </r>
  </si>
  <si>
    <r>
      <rPr>
        <sz val="11.25"/>
        <color rgb="FF0F1115"/>
        <rFont val="宋体"/>
        <charset val="134"/>
        <scheme val="minor"/>
      </rPr>
      <t>TB8</t>
    </r>
  </si>
  <si>
    <r>
      <rPr>
        <sz val="11.25"/>
        <color rgb="FF0F1115"/>
        <rFont val="宋体"/>
        <charset val="134"/>
        <scheme val="minor"/>
      </rPr>
      <t>RB8</t>
    </r>
  </si>
  <si>
    <r>
      <rPr>
        <sz val="11.25"/>
        <color rgb="FF0F1115"/>
        <rFont val="宋体"/>
        <charset val="134"/>
        <scheme val="minor"/>
      </rPr>
      <t>TI</t>
    </r>
  </si>
  <si>
    <r>
      <rPr>
        <sz val="11.25"/>
        <color rgb="FF0F1115"/>
        <rFont val="宋体"/>
        <charset val="134"/>
        <scheme val="minor"/>
      </rPr>
      <t>RI</t>
    </r>
  </si>
  <si>
    <r>
      <rPr>
        <sz val="11.25"/>
        <color rgb="FF0F1115"/>
        <rFont val="宋体"/>
        <charset val="134"/>
        <scheme val="minor"/>
      </rPr>
      <t>串口控制</t>
    </r>
  </si>
  <si>
    <r>
      <rPr>
        <sz val="11.25"/>
        <color rgb="FF0F1115"/>
        <rFont val="宋体"/>
        <charset val="134"/>
        <scheme val="minor"/>
      </rPr>
      <t>99H</t>
    </r>
  </si>
  <si>
    <r>
      <rPr>
        <sz val="11.25"/>
        <color rgb="FF0F1115"/>
        <rFont val="宋体"/>
        <charset val="134"/>
        <scheme val="minor"/>
      </rPr>
      <t>SBUF</t>
    </r>
  </si>
  <si>
    <r>
      <rPr>
        <sz val="11.25"/>
        <color rgb="FF0F1115"/>
        <rFont val="宋体"/>
        <charset val="134"/>
        <scheme val="minor"/>
      </rPr>
      <t>不定</t>
    </r>
  </si>
  <si>
    <r>
      <rPr>
        <sz val="11.25"/>
        <color rgb="FF0F1115"/>
        <rFont val="宋体"/>
        <charset val="134"/>
        <scheme val="minor"/>
      </rPr>
      <t>SBUF[7:0]</t>
    </r>
  </si>
  <si>
    <r>
      <rPr>
        <sz val="11.25"/>
        <color rgb="FF0F1115"/>
        <rFont val="宋体"/>
        <charset val="134"/>
        <scheme val="minor"/>
      </rPr>
      <t>串口数据缓冲</t>
    </r>
  </si>
  <si>
    <r>
      <rPr>
        <sz val="11.25"/>
        <color rgb="FF0F1115"/>
        <rFont val="宋体"/>
        <charset val="134"/>
        <scheme val="minor"/>
      </rPr>
      <t>A0H</t>
    </r>
  </si>
  <si>
    <r>
      <rPr>
        <sz val="11.25"/>
        <color rgb="FF0F1115"/>
        <rFont val="宋体"/>
        <charset val="134"/>
        <scheme val="minor"/>
      </rPr>
      <t>P2</t>
    </r>
  </si>
  <si>
    <r>
      <rPr>
        <sz val="11.25"/>
        <color rgb="FF0F1115"/>
        <rFont val="宋体"/>
        <charset val="134"/>
        <scheme val="minor"/>
      </rPr>
      <t>P2.7</t>
    </r>
  </si>
  <si>
    <r>
      <rPr>
        <sz val="11.25"/>
        <color rgb="FF0F1115"/>
        <rFont val="宋体"/>
        <charset val="134"/>
        <scheme val="minor"/>
      </rPr>
      <t>P2.6</t>
    </r>
  </si>
  <si>
    <r>
      <rPr>
        <sz val="11.25"/>
        <color rgb="FF0F1115"/>
        <rFont val="宋体"/>
        <charset val="134"/>
        <scheme val="minor"/>
      </rPr>
      <t>P2.5</t>
    </r>
  </si>
  <si>
    <r>
      <rPr>
        <sz val="11.25"/>
        <color rgb="FF0F1115"/>
        <rFont val="宋体"/>
        <charset val="134"/>
        <scheme val="minor"/>
      </rPr>
      <t>P2.4</t>
    </r>
  </si>
  <si>
    <r>
      <rPr>
        <sz val="11.25"/>
        <color rgb="FF0F1115"/>
        <rFont val="宋体"/>
        <charset val="134"/>
        <scheme val="minor"/>
      </rPr>
      <t>P2.3</t>
    </r>
  </si>
  <si>
    <r>
      <rPr>
        <sz val="11.25"/>
        <color rgb="FF0F1115"/>
        <rFont val="宋体"/>
        <charset val="134"/>
        <scheme val="minor"/>
      </rPr>
      <t>P2.2</t>
    </r>
  </si>
  <si>
    <r>
      <rPr>
        <sz val="11.25"/>
        <color rgb="FF0F1115"/>
        <rFont val="宋体"/>
        <charset val="134"/>
        <scheme val="minor"/>
      </rPr>
      <t>P2.1</t>
    </r>
  </si>
  <si>
    <r>
      <rPr>
        <sz val="11.25"/>
        <color rgb="FF0F1115"/>
        <rFont val="宋体"/>
        <charset val="134"/>
        <scheme val="minor"/>
      </rPr>
      <t>P2.0</t>
    </r>
  </si>
  <si>
    <r>
      <rPr>
        <sz val="11.25"/>
        <color rgb="FF0F1115"/>
        <rFont val="宋体"/>
        <charset val="134"/>
        <scheme val="minor"/>
      </rPr>
      <t>端口2</t>
    </r>
    <r>
      <rPr>
        <sz val="11.25"/>
        <color rgb="FF0F1115"/>
        <rFont val="宋体"/>
        <charset val="134"/>
        <scheme val="minor"/>
      </rPr>
      <t>（准双向）</t>
    </r>
  </si>
  <si>
    <r>
      <rPr>
        <sz val="11.25"/>
        <color rgb="FF0F1115"/>
        <rFont val="宋体"/>
        <charset val="134"/>
        <scheme val="minor"/>
      </rPr>
      <t>A8H</t>
    </r>
  </si>
  <si>
    <r>
      <rPr>
        <sz val="11.25"/>
        <color rgb="FF0F1115"/>
        <rFont val="宋体"/>
        <charset val="134"/>
        <scheme val="minor"/>
      </rPr>
      <t>IE</t>
    </r>
  </si>
  <si>
    <r>
      <rPr>
        <sz val="11.25"/>
        <color rgb="FF0F1115"/>
        <rFont val="宋体"/>
        <charset val="134"/>
        <scheme val="minor"/>
      </rPr>
      <t>EA</t>
    </r>
  </si>
  <si>
    <r>
      <rPr>
        <sz val="11.25"/>
        <color rgb="FF0F1115"/>
        <rFont val="宋体"/>
        <charset val="134"/>
        <scheme val="minor"/>
      </rPr>
      <t>ET2</t>
    </r>
  </si>
  <si>
    <r>
      <rPr>
        <sz val="11.25"/>
        <color rgb="FF0F1115"/>
        <rFont val="宋体"/>
        <charset val="134"/>
        <scheme val="minor"/>
      </rPr>
      <t>ES</t>
    </r>
  </si>
  <si>
    <r>
      <rPr>
        <sz val="11.25"/>
        <color rgb="FF0F1115"/>
        <rFont val="宋体"/>
        <charset val="134"/>
        <scheme val="minor"/>
      </rPr>
      <t>ET1</t>
    </r>
  </si>
  <si>
    <r>
      <rPr>
        <sz val="11.25"/>
        <color rgb="FF0F1115"/>
        <rFont val="宋体"/>
        <charset val="134"/>
        <scheme val="minor"/>
      </rPr>
      <t>EX1</t>
    </r>
  </si>
  <si>
    <r>
      <rPr>
        <sz val="11.25"/>
        <color rgb="FF0F1115"/>
        <rFont val="宋体"/>
        <charset val="134"/>
        <scheme val="minor"/>
      </rPr>
      <t>ET0</t>
    </r>
  </si>
  <si>
    <r>
      <rPr>
        <sz val="11.25"/>
        <color rgb="FF0F1115"/>
        <rFont val="宋体"/>
        <charset val="134"/>
        <scheme val="minor"/>
      </rPr>
      <t>EX0</t>
    </r>
  </si>
  <si>
    <r>
      <rPr>
        <sz val="11.25"/>
        <color rgb="FF0F1115"/>
        <rFont val="宋体"/>
        <charset val="134"/>
        <scheme val="minor"/>
      </rPr>
      <t>中断使能</t>
    </r>
  </si>
  <si>
    <r>
      <rPr>
        <sz val="11.25"/>
        <color rgb="FF0F1115"/>
        <rFont val="宋体"/>
        <charset val="134"/>
        <scheme val="minor"/>
      </rPr>
      <t>B0H</t>
    </r>
  </si>
  <si>
    <r>
      <rPr>
        <sz val="11.25"/>
        <color rgb="FF0F1115"/>
        <rFont val="宋体"/>
        <charset val="134"/>
        <scheme val="minor"/>
      </rPr>
      <t>P3</t>
    </r>
  </si>
  <si>
    <r>
      <rPr>
        <sz val="11.25"/>
        <color rgb="FF0F1115"/>
        <rFont val="宋体"/>
        <charset val="134"/>
        <scheme val="minor"/>
      </rPr>
      <t>P3.7</t>
    </r>
  </si>
  <si>
    <r>
      <rPr>
        <sz val="11.25"/>
        <color rgb="FF0F1115"/>
        <rFont val="宋体"/>
        <charset val="134"/>
        <scheme val="minor"/>
      </rPr>
      <t>P3.6</t>
    </r>
  </si>
  <si>
    <r>
      <rPr>
        <sz val="11.25"/>
        <color rgb="FF0F1115"/>
        <rFont val="宋体"/>
        <charset val="134"/>
        <scheme val="minor"/>
      </rPr>
      <t>P3.5</t>
    </r>
  </si>
  <si>
    <r>
      <rPr>
        <sz val="11.25"/>
        <color rgb="FF0F1115"/>
        <rFont val="宋体"/>
        <charset val="134"/>
        <scheme val="minor"/>
      </rPr>
      <t>P3.4</t>
    </r>
  </si>
  <si>
    <r>
      <rPr>
        <sz val="11.25"/>
        <color rgb="FF0F1115"/>
        <rFont val="宋体"/>
        <charset val="134"/>
        <scheme val="minor"/>
      </rPr>
      <t>P3.3</t>
    </r>
  </si>
  <si>
    <r>
      <rPr>
        <sz val="11.25"/>
        <color rgb="FF0F1115"/>
        <rFont val="宋体"/>
        <charset val="134"/>
        <scheme val="minor"/>
      </rPr>
      <t>P3.2</t>
    </r>
  </si>
  <si>
    <r>
      <rPr>
        <sz val="11.25"/>
        <color rgb="FF0F1115"/>
        <rFont val="宋体"/>
        <charset val="134"/>
        <scheme val="minor"/>
      </rPr>
      <t>P3.1</t>
    </r>
  </si>
  <si>
    <r>
      <rPr>
        <sz val="11.25"/>
        <color rgb="FF0F1115"/>
        <rFont val="宋体"/>
        <charset val="134"/>
        <scheme val="minor"/>
      </rPr>
      <t>P3.0</t>
    </r>
  </si>
  <si>
    <r>
      <rPr>
        <sz val="11.25"/>
        <color rgb="FF0F1115"/>
        <rFont val="宋体"/>
        <charset val="134"/>
        <scheme val="minor"/>
      </rPr>
      <t>端口3</t>
    </r>
    <r>
      <rPr>
        <sz val="11.25"/>
        <color rgb="FF0F1115"/>
        <rFont val="宋体"/>
        <charset val="134"/>
        <scheme val="minor"/>
      </rPr>
      <t>（复用功能）</t>
    </r>
  </si>
  <si>
    <r>
      <rPr>
        <sz val="11.25"/>
        <color rgb="FF0F1115"/>
        <rFont val="宋体"/>
        <charset val="134"/>
        <scheme val="minor"/>
      </rPr>
      <t>B8H</t>
    </r>
  </si>
  <si>
    <r>
      <rPr>
        <sz val="11.25"/>
        <color rgb="FF0F1115"/>
        <rFont val="宋体"/>
        <charset val="134"/>
        <scheme val="minor"/>
      </rPr>
      <t>IP</t>
    </r>
  </si>
  <si>
    <r>
      <rPr>
        <sz val="11.25"/>
        <color rgb="FF0F1115"/>
        <rFont val="宋体"/>
        <charset val="134"/>
        <scheme val="minor"/>
      </rPr>
      <t>PT2</t>
    </r>
  </si>
  <si>
    <r>
      <rPr>
        <sz val="11.25"/>
        <color rgb="FF0F1115"/>
        <rFont val="宋体"/>
        <charset val="134"/>
        <scheme val="minor"/>
      </rPr>
      <t>PS</t>
    </r>
  </si>
  <si>
    <r>
      <rPr>
        <sz val="11.25"/>
        <color rgb="FF0F1115"/>
        <rFont val="宋体"/>
        <charset val="134"/>
        <scheme val="minor"/>
      </rPr>
      <t>PT1</t>
    </r>
  </si>
  <si>
    <r>
      <rPr>
        <sz val="11.25"/>
        <color rgb="FF0F1115"/>
        <rFont val="宋体"/>
        <charset val="134"/>
        <scheme val="minor"/>
      </rPr>
      <t>PX1</t>
    </r>
  </si>
  <si>
    <r>
      <rPr>
        <sz val="11.25"/>
        <color rgb="FF0F1115"/>
        <rFont val="宋体"/>
        <charset val="134"/>
        <scheme val="minor"/>
      </rPr>
      <t>PT0</t>
    </r>
  </si>
  <si>
    <r>
      <rPr>
        <sz val="11.25"/>
        <color rgb="FF0F1115"/>
        <rFont val="宋体"/>
        <charset val="134"/>
        <scheme val="minor"/>
      </rPr>
      <t>PX0</t>
    </r>
  </si>
  <si>
    <r>
      <rPr>
        <sz val="11.25"/>
        <color rgb="FF0F1115"/>
        <rFont val="宋体"/>
        <charset val="134"/>
        <scheme val="minor"/>
      </rPr>
      <t>中断优先级</t>
    </r>
  </si>
  <si>
    <r>
      <rPr>
        <sz val="11.25"/>
        <color rgb="FF0F1115"/>
        <rFont val="宋体"/>
        <charset val="134"/>
        <scheme val="minor"/>
      </rPr>
      <t>D0H</t>
    </r>
  </si>
  <si>
    <r>
      <rPr>
        <sz val="11.25"/>
        <color rgb="FF0F1115"/>
        <rFont val="宋体"/>
        <charset val="134"/>
        <scheme val="minor"/>
      </rPr>
      <t>PSW</t>
    </r>
  </si>
  <si>
    <r>
      <rPr>
        <sz val="11.25"/>
        <color rgb="FF0F1115"/>
        <rFont val="宋体"/>
        <charset val="134"/>
        <scheme val="minor"/>
      </rPr>
      <t>CY</t>
    </r>
  </si>
  <si>
    <r>
      <rPr>
        <sz val="11.25"/>
        <color rgb="FF0F1115"/>
        <rFont val="宋体"/>
        <charset val="134"/>
        <scheme val="minor"/>
      </rPr>
      <t>AC</t>
    </r>
  </si>
  <si>
    <r>
      <rPr>
        <sz val="11.25"/>
        <color rgb="FF0F1115"/>
        <rFont val="宋体"/>
        <charset val="134"/>
        <scheme val="minor"/>
      </rPr>
      <t>F0</t>
    </r>
  </si>
  <si>
    <r>
      <rPr>
        <sz val="11.25"/>
        <color rgb="FF0F1115"/>
        <rFont val="宋体"/>
        <charset val="134"/>
        <scheme val="minor"/>
      </rPr>
      <t>RS1</t>
    </r>
  </si>
  <si>
    <r>
      <rPr>
        <sz val="11.25"/>
        <color rgb="FF0F1115"/>
        <rFont val="宋体"/>
        <charset val="134"/>
        <scheme val="minor"/>
      </rPr>
      <t>RS0</t>
    </r>
  </si>
  <si>
    <r>
      <rPr>
        <sz val="11.25"/>
        <color rgb="FF0F1115"/>
        <rFont val="宋体"/>
        <charset val="134"/>
        <scheme val="minor"/>
      </rPr>
      <t>OV</t>
    </r>
  </si>
  <si>
    <r>
      <rPr>
        <sz val="11.25"/>
        <color rgb="FF0F1115"/>
        <rFont val="宋体"/>
        <charset val="134"/>
        <scheme val="minor"/>
      </rPr>
      <t>P</t>
    </r>
  </si>
  <si>
    <r>
      <rPr>
        <sz val="11.25"/>
        <color rgb="FF0F1115"/>
        <rFont val="宋体"/>
        <charset val="134"/>
        <scheme val="minor"/>
      </rPr>
      <t>程序状态字</t>
    </r>
  </si>
  <si>
    <r>
      <rPr>
        <sz val="11.25"/>
        <color rgb="FF0F1115"/>
        <rFont val="宋体"/>
        <charset val="134"/>
        <scheme val="minor"/>
      </rPr>
      <t>E0H</t>
    </r>
  </si>
  <si>
    <r>
      <rPr>
        <sz val="11.25"/>
        <color rgb="FF0F1115"/>
        <rFont val="宋体"/>
        <charset val="134"/>
        <scheme val="minor"/>
      </rPr>
      <t>ACC</t>
    </r>
  </si>
  <si>
    <r>
      <rPr>
        <sz val="11.25"/>
        <color rgb="FF0F1115"/>
        <rFont val="宋体"/>
        <charset val="134"/>
        <scheme val="minor"/>
      </rPr>
      <t>ACC[7:0]</t>
    </r>
  </si>
  <si>
    <r>
      <rPr>
        <sz val="11.25"/>
        <color rgb="FF0F1115"/>
        <rFont val="宋体"/>
        <charset val="134"/>
        <scheme val="minor"/>
      </rPr>
      <t>累加器</t>
    </r>
    <r>
      <rPr>
        <sz val="11.25"/>
        <color rgb="FF0F1115"/>
        <rFont val="宋体"/>
        <charset val="134"/>
        <scheme val="minor"/>
      </rPr>
      <t>（隐含）</t>
    </r>
  </si>
  <si>
    <r>
      <rPr>
        <sz val="11.25"/>
        <color rgb="FF0F1115"/>
        <rFont val="宋体"/>
        <charset val="134"/>
        <scheme val="minor"/>
      </rPr>
      <t>F0H</t>
    </r>
  </si>
  <si>
    <r>
      <rPr>
        <sz val="11.25"/>
        <color rgb="FF0F1115"/>
        <rFont val="宋体"/>
        <charset val="134"/>
        <scheme val="minor"/>
      </rPr>
      <t>B</t>
    </r>
  </si>
  <si>
    <r>
      <rPr>
        <sz val="11.25"/>
        <color rgb="FF0F1115"/>
        <rFont val="宋体"/>
        <charset val="134"/>
        <scheme val="minor"/>
      </rPr>
      <t>B[7:0]</t>
    </r>
  </si>
  <si>
    <r>
      <rPr>
        <sz val="11.25"/>
        <color rgb="FF0F1115"/>
        <rFont val="宋体"/>
        <charset val="134"/>
        <scheme val="minor"/>
      </rPr>
      <t>B寄存器</t>
    </r>
  </si>
  <si>
    <r>
      <rPr>
        <sz val="12"/>
        <color rgb="FF0F1115"/>
        <rFont val="宋体"/>
        <charset val="134"/>
        <scheme val="minor"/>
      </rPr>
      <t>TC90C52新增了多个SFR，地址在80H~FFH之间，</t>
    </r>
    <r>
      <rPr>
        <sz val="12"/>
        <color rgb="FF0F1115"/>
        <rFont val="宋体"/>
        <charset val="134"/>
        <scheme val="minor"/>
      </rPr>
      <t>必须用直接寻址方式访问</t>
    </r>
    <r>
      <rPr>
        <sz val="12"/>
        <color rgb="FF0F1115"/>
        <rFont val="宋体"/>
        <charset val="134"/>
        <scheme val="minor"/>
      </rPr>
      <t>：</t>
    </r>
  </si>
  <si>
    <r>
      <rPr>
        <sz val="11.25"/>
        <color theme="1"/>
        <rFont val="宋体"/>
        <charset val="134"/>
        <scheme val="minor"/>
      </rPr>
      <t>地址</t>
    </r>
  </si>
  <si>
    <r>
      <rPr>
        <sz val="11.25"/>
        <color theme="1"/>
        <rFont val="宋体"/>
        <charset val="134"/>
        <scheme val="minor"/>
      </rPr>
      <t>寄存器名</t>
    </r>
  </si>
  <si>
    <r>
      <rPr>
        <sz val="11.25"/>
        <color theme="1"/>
        <rFont val="宋体"/>
        <charset val="134"/>
        <scheme val="minor"/>
      </rPr>
      <t>复位值</t>
    </r>
  </si>
  <si>
    <r>
      <rPr>
        <sz val="11.25"/>
        <color theme="1"/>
        <rFont val="宋体"/>
        <charset val="134"/>
        <scheme val="minor"/>
      </rPr>
      <t>主要功能</t>
    </r>
  </si>
  <si>
    <r>
      <rPr>
        <sz val="11.25"/>
        <color theme="1"/>
        <rFont val="宋体"/>
        <charset val="134"/>
        <scheme val="minor"/>
      </rPr>
      <t>8EH</t>
    </r>
  </si>
  <si>
    <r>
      <rPr>
        <sz val="11.25"/>
        <color theme="1"/>
        <rFont val="宋体"/>
        <charset val="134"/>
        <scheme val="minor"/>
      </rPr>
      <t>AUXR</t>
    </r>
  </si>
  <si>
    <r>
      <rPr>
        <sz val="11.25"/>
        <color theme="1"/>
        <rFont val="宋体"/>
        <charset val="134"/>
        <scheme val="minor"/>
      </rPr>
      <t>00H</t>
    </r>
  </si>
  <si>
    <r>
      <rPr>
        <sz val="11.25"/>
        <color theme="1"/>
        <rFont val="宋体"/>
        <charset val="134"/>
        <scheme val="minor"/>
      </rPr>
      <t>辅助寄存器</t>
    </r>
    <r>
      <rPr>
        <sz val="11.25"/>
        <color theme="1"/>
        <rFont val="宋体"/>
        <charset val="134"/>
        <scheme val="minor"/>
      </rPr>
      <t>：</t>
    </r>
  </si>
  <si>
    <r>
      <rPr>
        <sz val="11.25"/>
        <color theme="1"/>
        <rFont val="宋体"/>
        <charset val="134"/>
        <scheme val="minor"/>
      </rPr>
      <t>• DISALE（ALE控制）</t>
    </r>
  </si>
  <si>
    <r>
      <rPr>
        <sz val="11.25"/>
        <color theme="1"/>
        <rFont val="宋体"/>
        <charset val="134"/>
        <scheme val="minor"/>
      </rPr>
      <t>• DISRTC（看门狗）</t>
    </r>
  </si>
  <si>
    <r>
      <rPr>
        <sz val="11.25"/>
        <color theme="1"/>
        <rFont val="宋体"/>
        <charset val="134"/>
        <scheme val="minor"/>
      </rPr>
      <t>8FH</t>
    </r>
  </si>
  <si>
    <r>
      <rPr>
        <sz val="11.25"/>
        <color theme="1"/>
        <rFont val="宋体"/>
        <charset val="134"/>
        <scheme val="minor"/>
      </rPr>
      <t>AUXR1</t>
    </r>
  </si>
  <si>
    <r>
      <rPr>
        <sz val="11.25"/>
        <color theme="1"/>
        <rFont val="宋体"/>
        <charset val="134"/>
        <scheme val="minor"/>
      </rPr>
      <t>辅助寄存器1</t>
    </r>
    <r>
      <rPr>
        <sz val="11.25"/>
        <color theme="1"/>
        <rFont val="宋体"/>
        <charset val="134"/>
        <scheme val="minor"/>
      </rPr>
      <t>：</t>
    </r>
  </si>
  <si>
    <r>
      <rPr>
        <sz val="11.25"/>
        <color theme="1"/>
        <rFont val="宋体"/>
        <charset val="134"/>
        <scheme val="minor"/>
      </rPr>
      <t>• DPS（DPTR选择）</t>
    </r>
  </si>
  <si>
    <r>
      <rPr>
        <sz val="11.25"/>
        <color theme="1"/>
        <rFont val="宋体"/>
        <charset val="134"/>
        <scheme val="minor"/>
      </rPr>
      <t>A2H</t>
    </r>
  </si>
  <si>
    <r>
      <rPr>
        <sz val="11.25"/>
        <color theme="1"/>
        <rFont val="宋体"/>
        <charset val="134"/>
        <scheme val="minor"/>
      </rPr>
      <t>AUXR2</t>
    </r>
  </si>
  <si>
    <r>
      <rPr>
        <sz val="11.25"/>
        <color theme="1"/>
        <rFont val="宋体"/>
        <charset val="134"/>
        <scheme val="minor"/>
      </rPr>
      <t>辅助寄存器2</t>
    </r>
  </si>
  <si>
    <r>
      <rPr>
        <sz val="11.25"/>
        <color theme="1"/>
        <rFont val="宋体"/>
        <charset val="134"/>
        <scheme val="minor"/>
      </rPr>
      <t>A9H</t>
    </r>
  </si>
  <si>
    <r>
      <rPr>
        <sz val="11.25"/>
        <color theme="1"/>
        <rFont val="宋体"/>
        <charset val="134"/>
        <scheme val="minor"/>
      </rPr>
      <t>SADDR</t>
    </r>
  </si>
  <si>
    <r>
      <rPr>
        <sz val="11.25"/>
        <color theme="1"/>
        <rFont val="宋体"/>
        <charset val="134"/>
        <scheme val="minor"/>
      </rPr>
      <t>从机地址寄存器</t>
    </r>
  </si>
  <si>
    <r>
      <rPr>
        <sz val="11.25"/>
        <color theme="1"/>
        <rFont val="宋体"/>
        <charset val="134"/>
        <scheme val="minor"/>
      </rPr>
      <t>B7H</t>
    </r>
  </si>
  <si>
    <r>
      <rPr>
        <sz val="11.25"/>
        <color theme="1"/>
        <rFont val="宋体"/>
        <charset val="134"/>
        <scheme val="minor"/>
      </rPr>
      <t>IPH</t>
    </r>
  </si>
  <si>
    <r>
      <rPr>
        <sz val="11.25"/>
        <color theme="1"/>
        <rFont val="宋体"/>
        <charset val="134"/>
        <scheme val="minor"/>
      </rPr>
      <t>中断优先级高</t>
    </r>
  </si>
  <si>
    <r>
      <rPr>
        <sz val="11.25"/>
        <color theme="1"/>
        <rFont val="宋体"/>
        <charset val="134"/>
        <scheme val="minor"/>
      </rPr>
      <t>C8H</t>
    </r>
  </si>
  <si>
    <r>
      <rPr>
        <sz val="11.25"/>
        <color theme="1"/>
        <rFont val="宋体"/>
        <charset val="134"/>
        <scheme val="minor"/>
      </rPr>
      <t>WDT_CONTR</t>
    </r>
  </si>
  <si>
    <r>
      <rPr>
        <sz val="11.25"/>
        <color theme="1"/>
        <rFont val="宋体"/>
        <charset val="134"/>
        <scheme val="minor"/>
      </rPr>
      <t>看门狗控制</t>
    </r>
  </si>
  <si>
    <r>
      <rPr>
        <sz val="11.25"/>
        <color theme="1"/>
        <rFont val="宋体"/>
        <charset val="134"/>
        <scheme val="minor"/>
      </rPr>
      <t>D1H</t>
    </r>
  </si>
  <si>
    <r>
      <rPr>
        <sz val="11.25"/>
        <color theme="1"/>
        <rFont val="宋体"/>
        <charset val="134"/>
        <scheme val="minor"/>
      </rPr>
      <t>P4</t>
    </r>
  </si>
  <si>
    <r>
      <rPr>
        <sz val="11.25"/>
        <color theme="1"/>
        <rFont val="宋体"/>
        <charset val="134"/>
        <scheme val="minor"/>
      </rPr>
      <t>FFH</t>
    </r>
  </si>
  <si>
    <r>
      <rPr>
        <sz val="11.25"/>
        <color theme="1"/>
        <rFont val="宋体"/>
        <charset val="134"/>
        <scheme val="minor"/>
      </rPr>
      <t>端口4</t>
    </r>
    <r>
      <rPr>
        <sz val="11.25"/>
        <color theme="1"/>
        <rFont val="宋体"/>
        <charset val="134"/>
        <scheme val="minor"/>
      </rPr>
      <t>（扩展IO）</t>
    </r>
  </si>
  <si>
    <r>
      <rPr>
        <sz val="11.25"/>
        <color theme="1"/>
        <rFont val="宋体"/>
        <charset val="134"/>
        <scheme val="minor"/>
      </rPr>
      <t>D8H</t>
    </r>
  </si>
  <si>
    <r>
      <rPr>
        <sz val="11.25"/>
        <color theme="1"/>
        <rFont val="宋体"/>
        <charset val="134"/>
        <scheme val="minor"/>
      </rPr>
      <t>T2CON</t>
    </r>
  </si>
  <si>
    <r>
      <rPr>
        <sz val="11.25"/>
        <color theme="1"/>
        <rFont val="宋体"/>
        <charset val="134"/>
        <scheme val="minor"/>
      </rPr>
      <t>定时器2控制</t>
    </r>
  </si>
  <si>
    <r>
      <rPr>
        <sz val="11.25"/>
        <color theme="1"/>
        <rFont val="宋体"/>
        <charset val="134"/>
        <scheme val="minor"/>
      </rPr>
      <t>D9H</t>
    </r>
  </si>
  <si>
    <r>
      <rPr>
        <sz val="11.25"/>
        <color theme="1"/>
        <rFont val="宋体"/>
        <charset val="134"/>
        <scheme val="minor"/>
      </rPr>
      <t>T2MOD</t>
    </r>
  </si>
  <si>
    <r>
      <rPr>
        <sz val="11.25"/>
        <color theme="1"/>
        <rFont val="宋体"/>
        <charset val="134"/>
        <scheme val="minor"/>
      </rPr>
      <t>定时器2模式</t>
    </r>
  </si>
  <si>
    <r>
      <rPr>
        <sz val="11.25"/>
        <color theme="1"/>
        <rFont val="宋体"/>
        <charset val="134"/>
        <scheme val="minor"/>
      </rPr>
      <t>DAH</t>
    </r>
  </si>
  <si>
    <r>
      <rPr>
        <sz val="11.25"/>
        <color theme="1"/>
        <rFont val="宋体"/>
        <charset val="134"/>
        <scheme val="minor"/>
      </rPr>
      <t>RCAP2L</t>
    </r>
  </si>
  <si>
    <r>
      <rPr>
        <sz val="11.25"/>
        <color theme="1"/>
        <rFont val="宋体"/>
        <charset val="134"/>
        <scheme val="minor"/>
      </rPr>
      <t>定时器2重载低</t>
    </r>
  </si>
  <si>
    <r>
      <rPr>
        <sz val="11.25"/>
        <color theme="1"/>
        <rFont val="宋体"/>
        <charset val="134"/>
        <scheme val="minor"/>
      </rPr>
      <t>DBH</t>
    </r>
  </si>
  <si>
    <r>
      <rPr>
        <sz val="11.25"/>
        <color theme="1"/>
        <rFont val="宋体"/>
        <charset val="134"/>
        <scheme val="minor"/>
      </rPr>
      <t>RCAP2H</t>
    </r>
  </si>
  <si>
    <r>
      <rPr>
        <sz val="11.25"/>
        <color theme="1"/>
        <rFont val="宋体"/>
        <charset val="134"/>
        <scheme val="minor"/>
      </rPr>
      <t>定时器2重载高</t>
    </r>
  </si>
  <si>
    <r>
      <rPr>
        <sz val="11.25"/>
        <color theme="1"/>
        <rFont val="宋体"/>
        <charset val="134"/>
        <scheme val="minor"/>
      </rPr>
      <t>CCH</t>
    </r>
  </si>
  <si>
    <r>
      <rPr>
        <sz val="11.25"/>
        <color theme="1"/>
        <rFont val="宋体"/>
        <charset val="134"/>
        <scheme val="minor"/>
      </rPr>
      <t>TL2</t>
    </r>
  </si>
  <si>
    <r>
      <rPr>
        <sz val="11.25"/>
        <color theme="1"/>
        <rFont val="宋体"/>
        <charset val="134"/>
        <scheme val="minor"/>
      </rPr>
      <t>定时器2低字节</t>
    </r>
  </si>
  <si>
    <r>
      <rPr>
        <sz val="11.25"/>
        <color theme="1"/>
        <rFont val="宋体"/>
        <charset val="134"/>
        <scheme val="minor"/>
      </rPr>
      <t>CDH</t>
    </r>
  </si>
  <si>
    <r>
      <rPr>
        <sz val="11.25"/>
        <color theme="1"/>
        <rFont val="宋体"/>
        <charset val="134"/>
        <scheme val="minor"/>
      </rPr>
      <t>TH2</t>
    </r>
  </si>
  <si>
    <r>
      <rPr>
        <sz val="11.25"/>
        <color theme="1"/>
        <rFont val="宋体"/>
        <charset val="134"/>
        <scheme val="minor"/>
      </rPr>
      <t>定时器2高字节</t>
    </r>
  </si>
  <si>
    <r>
      <rPr>
        <sz val="11.25"/>
        <color theme="1"/>
        <rFont val="宋体"/>
        <charset val="134"/>
        <scheme val="minor"/>
      </rPr>
      <t>E8H</t>
    </r>
  </si>
  <si>
    <r>
      <rPr>
        <sz val="11.25"/>
        <color theme="1"/>
        <rFont val="宋体"/>
        <charset val="134"/>
        <scheme val="minor"/>
      </rPr>
      <t>P5</t>
    </r>
  </si>
  <si>
    <r>
      <rPr>
        <sz val="11.25"/>
        <color theme="1"/>
        <rFont val="宋体"/>
        <charset val="134"/>
        <scheme val="minor"/>
      </rPr>
      <t>端口5</t>
    </r>
    <r>
      <rPr>
        <sz val="11.25"/>
        <color theme="1"/>
        <rFont val="宋体"/>
        <charset val="134"/>
        <scheme val="minor"/>
      </rPr>
      <t>（部分型号）</t>
    </r>
  </si>
  <si>
    <r>
      <rPr>
        <sz val="11.25"/>
        <color theme="1"/>
        <rFont val="宋体"/>
        <charset val="134"/>
        <scheme val="minor"/>
      </rPr>
      <t>F8H</t>
    </r>
  </si>
  <si>
    <r>
      <rPr>
        <sz val="11.25"/>
        <color theme="1"/>
        <rFont val="宋体"/>
        <charset val="134"/>
        <scheme val="minor"/>
      </rPr>
      <t>P6</t>
    </r>
  </si>
  <si>
    <r>
      <rPr>
        <sz val="11.25"/>
        <color theme="1"/>
        <rFont val="宋体"/>
        <charset val="134"/>
        <scheme val="minor"/>
      </rPr>
      <t>端口6</t>
    </r>
    <r>
      <rPr>
        <sz val="11.25"/>
        <color theme="1"/>
        <rFont val="宋体"/>
        <charset val="134"/>
        <scheme val="minor"/>
      </rPr>
      <t>（部分型号）</t>
    </r>
  </si>
  <si>
    <t>3.1 程序状态字 PSW (D0H)</t>
  </si>
  <si>
    <t>CY  AC  F0  RS1  RS0  OV  -   P</t>
  </si>
  <si>
    <t>D7  D6  D5  D4   D3   D2  D1  D0</t>
  </si>
  <si>
    <t>CY (D7)：进位/借位标志</t>
  </si>
  <si>
    <t>AC (D6)：辅助进位（BCD运算）</t>
  </si>
  <si>
    <t>F0 (D5)：用户标志位0</t>
  </si>
  <si>
    <t>RS1, RS0 (D4,D3)：工作寄存器组选择</t>
  </si>
  <si>
    <t>00：组0 (00H~07H)</t>
  </si>
  <si>
    <t>01：组1 (08H~0FH)</t>
  </si>
  <si>
    <t>10：组2 (10H~17H)</t>
  </si>
  <si>
    <t>11：组3 (18H~1FH)</t>
  </si>
  <si>
    <t>OV (D2)：溢出标志</t>
  </si>
  <si>
    <t>P (D0)：奇偶标志（A中1的个数为奇则置1）</t>
  </si>
  <si>
    <t>3.2 中断使能寄存器 IE (A8H)</t>
  </si>
  <si>
    <t>EA   -   ET2  ES   ET1  EX1  ET0  EX0</t>
  </si>
  <si>
    <t>D7   D6  D5   D4   D3   D2   D1   D0</t>
  </si>
  <si>
    <t>EA (D7)：总中断开关（1=允许）</t>
  </si>
  <si>
    <t>ET2 (D5)：定时器2中断</t>
  </si>
  <si>
    <t>ES (D4)：串口中断</t>
  </si>
  <si>
    <t>ET1 (D3)：定时器1中断</t>
  </si>
  <si>
    <t>EX1 (D2)：外部中断1</t>
  </si>
  <si>
    <t>ET0 (D1)：定时器0中断</t>
  </si>
  <si>
    <t>EX0 (D0)：外部中断0</t>
  </si>
  <si>
    <t>3.3 串口控制寄存器 SCON (98H)</t>
  </si>
  <si>
    <t>SM0  SM1  SM2  REN  TB8  RB8  TI   RI</t>
  </si>
  <si>
    <t>D7   D6   D5   D4   D3   D2   D1   D0</t>
  </si>
  <si>
    <t>SM0,SM1 (D7,D6)：串口工作模式</t>
  </si>
  <si>
    <t>00：模式0（移位寄存器）</t>
  </si>
  <si>
    <t>01：模式1（8位UART，波特率可变）</t>
  </si>
  <si>
    <t>10：模式2（9位UART，波特率固定）</t>
  </si>
  <si>
    <t>11：模式3（9位UART，波特率可变）</t>
  </si>
  <si>
    <t>REN (D4)：接收允许</t>
  </si>
  <si>
    <t>TI (D1)：发送中断标志</t>
  </si>
  <si>
    <t>RI (D0)：接收中断标志</t>
  </si>
  <si>
    <t>3.4 定时器控制寄存器 TCON (88H)</t>
  </si>
  <si>
    <t>TF1  TR1  TF0  TR0  IE1  IT1  IE0  IT0</t>
  </si>
  <si>
    <t>TF1 (D7)：定时器1溢出标志</t>
  </si>
  <si>
    <t>TR1 (D6)：定时器1运行控制</t>
  </si>
  <si>
    <t>TF0 (D5)：定时器0溢出标志</t>
  </si>
  <si>
    <t>TR0 (D4)：定时器0运行控制</t>
  </si>
  <si>
    <t>IT1 (D2)：外部中断1触发方式（0=电平，1=边沿）</t>
  </si>
  <si>
    <t>IT0 (D0)：外部中断0触发方式</t>
  </si>
  <si>
    <t>四、STC扩展寄存器详解</t>
  </si>
  <si>
    <t>4.1 辅助寄存器 AUXR (8EH)</t>
  </si>
  <si>
    <t>-     -     -    -    -   DISRTC  DISALE   -</t>
  </si>
  <si>
    <t>D7    D6    D5   D4   D3   D2      D1      D0</t>
  </si>
  <si>
    <t>DISALE (D1)：ALE引脚控制</t>
  </si>
  <si>
    <t>0：ALE输出时钟（传统模式）</t>
  </si>
  <si>
    <t>1：ALE仅在MOVX时有效</t>
  </si>
  <si>
    <t>DISRTC (D2)：看门狗时钟控制</t>
  </si>
  <si>
    <t>4.2 看门狗控制寄存器 WDT_CONTR (C8H)</t>
  </si>
  <si>
    <t>EN_WDT  CLR_WDT  IDLE_WDT  PS2  PS1  PS0  -    -</t>
  </si>
  <si>
    <t>D7       D6       D5        D4   D3   D2   D1   D0</t>
  </si>
  <si>
    <t>EN_WDT (D7)：看门狗使能</t>
  </si>
  <si>
    <t>CLR_WDT (D6)：写1清看门狗</t>
  </si>
  <si>
    <t>PS2~PS0 (D4~D2)：预分频系数（超时时间）</t>
  </si>
  <si>
    <t>4.3 定时器2寄存器组</t>
  </si>
  <si>
    <t>STC90C52增加了完整的定时器2，功能比定时器0/1更强：</t>
  </si>
  <si>
    <t>T2CON (D8H)：控制寄存器</t>
  </si>
  <si>
    <t>T2MOD (D9H)：模式寄存器</t>
  </si>
  <si>
    <t>RCAP2L/RCAP2H (DAH/DBH)：重载值</t>
  </si>
  <si>
    <t>TL2/TH2 (CCH/CDH)：计数寄存器</t>
  </si>
  <si>
    <t>五、端口寄存器映射</t>
  </si>
  <si>
    <t>端口</t>
  </si>
  <si>
    <t>地址</t>
  </si>
  <si>
    <t>引脚功能（第二功能）</t>
  </si>
  <si>
    <t>80H</t>
  </si>
  <si>
    <t>AD0~AD7（数据/地址总线）</t>
  </si>
  <si>
    <t>90H</t>
  </si>
  <si>
    <t>T2(P1.0), T2EX(P1.1)等</t>
  </si>
  <si>
    <t>A0H</t>
  </si>
  <si>
    <t>A8~A15（地址高8位）</t>
  </si>
  <si>
    <t>B0H</t>
  </si>
  <si>
    <t>详见下表</t>
  </si>
  <si>
    <t>P4</t>
  </si>
  <si>
    <t>D1H</t>
  </si>
  <si>
    <t>扩展IO（部分型号）</t>
  </si>
  <si>
    <t>P3口第二功能表</t>
  </si>
  <si>
    <t>引脚</t>
  </si>
  <si>
    <t>第二功能</t>
  </si>
  <si>
    <t>P3.0</t>
  </si>
  <si>
    <t>RXD</t>
  </si>
  <si>
    <t>串口接收</t>
  </si>
  <si>
    <t>P3.1</t>
  </si>
  <si>
    <t>TXD</t>
  </si>
  <si>
    <t>串口发送</t>
  </si>
  <si>
    <t>P3.2</t>
  </si>
  <si>
    <t>INT0</t>
  </si>
  <si>
    <t>外部中断0</t>
  </si>
  <si>
    <t>P3.3</t>
  </si>
  <si>
    <t>INT1</t>
  </si>
  <si>
    <t>外部中断1</t>
  </si>
  <si>
    <t>P3.4</t>
  </si>
  <si>
    <t>T0</t>
  </si>
  <si>
    <t>定时器0输入</t>
  </si>
  <si>
    <t>P3.5</t>
  </si>
  <si>
    <t>T1</t>
  </si>
  <si>
    <t>定时器1输入</t>
  </si>
  <si>
    <t>P3.6</t>
  </si>
  <si>
    <t>WR</t>
  </si>
  <si>
    <t>外部RAM写</t>
  </si>
  <si>
    <t>P3.7</t>
  </si>
  <si>
    <t>RD</t>
  </si>
  <si>
    <t>外部RAM读</t>
  </si>
  <si>
    <t>六、位寻址区映射（20H~2FH）</t>
  </si>
  <si>
    <t>内部RAM的20H~2FH共16字节（128位）支持位寻址：</t>
  </si>
  <si>
    <t>字节地址</t>
  </si>
  <si>
    <t>位地址范围</t>
  </si>
  <si>
    <t>对应位</t>
  </si>
  <si>
    <t>20H</t>
  </si>
  <si>
    <t>00H~07H</t>
  </si>
  <si>
    <t>20H.0 ~ 20H.7</t>
  </si>
  <si>
    <t>21H</t>
  </si>
  <si>
    <t>08H~0FH</t>
  </si>
  <si>
    <t>21H.0 ~ 21H.7</t>
  </si>
  <si>
    <t>22H</t>
  </si>
  <si>
    <t>10H~17H</t>
  </si>
  <si>
    <t>22H.0 ~ 22H.7</t>
  </si>
  <si>
    <t>23H</t>
  </si>
  <si>
    <t>18H~1FH</t>
  </si>
  <si>
    <t>23H.0 ~ 23H.7</t>
  </si>
  <si>
    <t>24H</t>
  </si>
  <si>
    <t>20H~27H</t>
  </si>
  <si>
    <t>24H.0 ~ 24H.7</t>
  </si>
  <si>
    <t>25H</t>
  </si>
  <si>
    <t>28H~2FH</t>
  </si>
  <si>
    <t>25H.0 ~ 25H.7</t>
  </si>
  <si>
    <t>26H</t>
  </si>
  <si>
    <t>30H~37H</t>
  </si>
  <si>
    <t>26H.0 ~ 26H.7</t>
  </si>
  <si>
    <t>27H</t>
  </si>
  <si>
    <t>38H~3FH</t>
  </si>
  <si>
    <t>27H.0 ~ 27H.7</t>
  </si>
  <si>
    <t>28H</t>
  </si>
  <si>
    <t>40H~47H</t>
  </si>
  <si>
    <t>28H.0 ~ 28H.7</t>
  </si>
  <si>
    <t>29H</t>
  </si>
  <si>
    <t>48H~4FH</t>
  </si>
  <si>
    <t>29H.0 ~ 29H.7</t>
  </si>
  <si>
    <t>2AH</t>
  </si>
  <si>
    <t>50H~57H</t>
  </si>
  <si>
    <t>2AH.0 ~ 2AH.7</t>
  </si>
  <si>
    <t>2BH</t>
  </si>
  <si>
    <t>58H~5FH</t>
  </si>
  <si>
    <t>2BH.0 ~ 2BH.7</t>
  </si>
  <si>
    <t>2CH</t>
  </si>
  <si>
    <t>60H~67H</t>
  </si>
  <si>
    <t>2CH.0 ~ 2CH.7</t>
  </si>
  <si>
    <t>2DH</t>
  </si>
  <si>
    <t>68H~6FH</t>
  </si>
  <si>
    <t>2DH.0 ~ 2DH.7</t>
  </si>
  <si>
    <t>2EH</t>
  </si>
  <si>
    <t>70H~77H</t>
  </si>
  <si>
    <t>2EH.0 ~ 2EH.7</t>
  </si>
  <si>
    <t>2FH</t>
  </si>
  <si>
    <t>78H~7FH</t>
  </si>
  <si>
    <t>2FH.0 ~ 2FH.7</t>
  </si>
  <si>
    <t>示例：SETB 20H.0 等同于 SETB 00H</t>
  </si>
  <si>
    <t>七、SFR位寻址区（80H~FFH）</t>
  </si>
  <si>
    <t>SFR中地址能被8整除的寄存器支持位寻址：</t>
  </si>
  <si>
    <t>SFR地址</t>
  </si>
  <si>
    <t>80H~87H</t>
  </si>
  <si>
    <t>88H</t>
  </si>
  <si>
    <t>88H~8FH</t>
  </si>
  <si>
    <t>90H~97H</t>
  </si>
  <si>
    <t>98H</t>
  </si>
  <si>
    <t>98H~9FH</t>
  </si>
  <si>
    <t>A0H~A7H</t>
  </si>
  <si>
    <t>A8H</t>
  </si>
  <si>
    <t>A8H~AFH</t>
  </si>
  <si>
    <t>B0H~B7H</t>
  </si>
  <si>
    <t>B8H</t>
  </si>
  <si>
    <t>B8H~BFH</t>
  </si>
  <si>
    <t>D0H</t>
  </si>
  <si>
    <t>D0H~D7H</t>
  </si>
  <si>
    <t>E0H</t>
  </si>
  <si>
    <t>E0H~E7H</t>
  </si>
  <si>
    <t>F0H</t>
  </si>
  <si>
    <t>B</t>
  </si>
  <si>
    <t>F0H~F7H</t>
  </si>
  <si>
    <t>示例：SETB ACC.0 等同于 SETB E0H</t>
  </si>
  <si>
    <t>八、内存映射总览</t>
  </si>
  <si>
    <t>0000H ┌──────────────┐</t>
  </si>
  <si>
    <t xml:space="preserve">      │  程序存储器  │</t>
  </si>
  <si>
    <t xml:space="preserve">      │  (Flash)    │</t>
  </si>
  <si>
    <t xml:space="preserve">      │             │</t>
  </si>
  <si>
    <t xml:space="preserve">      ├──────────────┤</t>
  </si>
  <si>
    <t xml:space="preserve">      │    SFR区    │ ← 80H~FFH（直接寻址）</t>
  </si>
  <si>
    <t xml:space="preserve">      │  高128字节  │ ← 80H~FFH（间接寻址）</t>
  </si>
  <si>
    <t xml:space="preserve">      │  位寻址区    │ ← 20H~2FH（128位）</t>
  </si>
  <si>
    <t xml:space="preserve">      │  通用RAM    │ ← 30H~7FH</t>
  </si>
  <si>
    <t xml:space="preserve">      │ 寄存器组3   │ ← 18H~1FH (R0~R7)</t>
  </si>
  <si>
    <t xml:space="preserve">      │ 寄存器组2   │ ← 10H~17H (R0~R7)</t>
  </si>
  <si>
    <t xml:space="preserve">      │ 寄存器组1   │ ← 08H~0FH (R0~R7)</t>
  </si>
  <si>
    <t xml:space="preserve">      │ 寄存器组0   │ ← 00H~07H (R0~R7)</t>
  </si>
  <si>
    <t>0000H └──────────────┘</t>
  </si>
  <si>
    <t>九、编程注意事项</t>
  </si>
  <si>
    <t>SFR访问：必须使用直接寻址方式</t>
  </si>
  <si>
    <t>assembly</t>
  </si>
  <si>
    <t>MOV 80H, #0FFH    ; 正确：设置P0口</t>
  </si>
  <si>
    <t>MOV R0, #80H</t>
  </si>
  <si>
    <t>MOV @R0, #0FFH    ; 错误：访问的是内部RAM</t>
  </si>
  <si>
    <t>寄存器组切换：</t>
  </si>
  <si>
    <t>SETB PSW.3        ; RS0=1</t>
  </si>
  <si>
    <t>SETB PSW.4        ; RS1=1，选择组3</t>
  </si>
  <si>
    <t>扩展SFR：不同STC型号可能不同，请查阅对应数据手册</t>
  </si>
  <si>
    <t>复位值：</t>
  </si>
  <si>
    <t>大部分SFR复位值为00H</t>
  </si>
  <si>
    <t>端口寄存器复位值为FFH（高电平）</t>
  </si>
  <si>
    <t>SP复位值为07H</t>
  </si>
  <si>
    <t>此参考表适用于STC90C52系列，其他STC型号（如STC89C52、STC12C5A60S2等）寄存器可能有所不同。建议开发时使用STC-ISP软件的头文件生成器获取准确信息。</t>
  </si>
  <si>
    <t>direct 表示直接寻址（00H-FFH），#data 表示立即数（00H-FFH），#data16 表示16位立即数（0000H-FFFFH）
rel 表示相对地址（-128~127），addr11 表示11位地址（0000H-07FFH），addr16 表示16位地址（0000H-FFFFH）</t>
  </si>
  <si>
    <t>参数个数</t>
  </si>
  <si>
    <t>命令</t>
  </si>
  <si>
    <t>A</t>
  </si>
  <si>
    <t>#data</t>
  </si>
  <si>
    <t>direct</t>
  </si>
  <si>
    <t>@R0</t>
  </si>
  <si>
    <t>@R1</t>
  </si>
  <si>
    <t>DPTR</t>
  </si>
  <si>
    <t>#data16</t>
  </si>
  <si>
    <t>@A+PC</t>
  </si>
  <si>
    <t>@A+DPTR</t>
  </si>
  <si>
    <t>@DPTR</t>
  </si>
  <si>
    <t>addr16</t>
  </si>
  <si>
    <t>rel</t>
  </si>
  <si>
    <t>bit</t>
  </si>
  <si>
    <t>C</t>
  </si>
  <si>
    <t>AB</t>
  </si>
  <si>
    <t>/bit</t>
  </si>
  <si>
    <t>NOP</t>
  </si>
  <si>
    <t>RET</t>
  </si>
  <si>
    <t>RETI</t>
  </si>
  <si>
    <t>ADD</t>
  </si>
  <si>
    <t>ADDC</t>
  </si>
  <si>
    <t>ANL</t>
  </si>
  <si>
    <t>DJNZ</t>
  </si>
  <si>
    <t>JB</t>
  </si>
  <si>
    <t>JBC</t>
  </si>
  <si>
    <t>JNB</t>
  </si>
  <si>
    <t>MOV</t>
  </si>
  <si>
    <t>MOVC</t>
  </si>
  <si>
    <t>MOVX</t>
  </si>
  <si>
    <t>ORL</t>
  </si>
  <si>
    <t>SUBB</t>
  </si>
  <si>
    <t>XCH</t>
  </si>
  <si>
    <t>XCHD</t>
  </si>
  <si>
    <t>XRL</t>
  </si>
  <si>
    <t>CJNE</t>
  </si>
  <si>
    <t>CJNE,@R0</t>
  </si>
  <si>
    <t>CJNE,@R1</t>
  </si>
  <si>
    <t>CJNE,A</t>
  </si>
  <si>
    <t>CJNE,R0</t>
  </si>
  <si>
    <t>CJNE,R1</t>
  </si>
  <si>
    <t>CJNE,R2</t>
  </si>
  <si>
    <t>CJNE,R3</t>
  </si>
  <si>
    <t>CJNE,R4</t>
  </si>
  <si>
    <t>CJNE,R5</t>
  </si>
  <si>
    <t>CJNE,R6</t>
  </si>
  <si>
    <t>CJNE,R7</t>
  </si>
  <si>
    <t>CLR</t>
  </si>
  <si>
    <t>CPL</t>
  </si>
  <si>
    <t>DA</t>
  </si>
  <si>
    <t>DEC</t>
  </si>
  <si>
    <t>DIV</t>
  </si>
  <si>
    <t>INC</t>
  </si>
  <si>
    <t>JC</t>
  </si>
  <si>
    <t>JMP</t>
  </si>
  <si>
    <t>JNC</t>
  </si>
  <si>
    <t>JNZ</t>
  </si>
  <si>
    <t>JZ</t>
  </si>
  <si>
    <t>LCALL</t>
  </si>
  <si>
    <t>LJMP</t>
  </si>
  <si>
    <t>MUL</t>
  </si>
  <si>
    <t>POP</t>
  </si>
  <si>
    <t>PUSH</t>
  </si>
  <si>
    <t>RL</t>
  </si>
  <si>
    <t>RLC</t>
  </si>
  <si>
    <t>RR</t>
  </si>
  <si>
    <t>RRC</t>
  </si>
  <si>
    <t>SETB</t>
  </si>
  <si>
    <t>SJMP</t>
  </si>
  <si>
    <t>SWAP</t>
  </si>
  <si>
    <t>ADD,A</t>
  </si>
  <si>
    <t>ADDC,A</t>
  </si>
  <si>
    <t>ANL,A</t>
  </si>
  <si>
    <t>ANL,C</t>
  </si>
  <si>
    <t>ANL,direct</t>
  </si>
  <si>
    <t>DJNZ,R0</t>
  </si>
  <si>
    <t>DJNZ,R1</t>
  </si>
  <si>
    <t>DJNZ,R2</t>
  </si>
  <si>
    <t>DJNZ,R3</t>
  </si>
  <si>
    <t>DJNZ,R4</t>
  </si>
  <si>
    <t>DJNZ,R5</t>
  </si>
  <si>
    <t>DJNZ,R6</t>
  </si>
  <si>
    <t>DJNZ,R7</t>
  </si>
  <si>
    <t>JB,bit</t>
  </si>
  <si>
    <t>JBC,bit</t>
  </si>
  <si>
    <t>JNB,bit</t>
  </si>
  <si>
    <t>MOV,@R0</t>
  </si>
  <si>
    <t>MOV,@R1</t>
  </si>
  <si>
    <t>MOV,A</t>
  </si>
  <si>
    <t>MOV,bit</t>
  </si>
  <si>
    <t>MOV,C</t>
  </si>
  <si>
    <t>MOV,direct</t>
  </si>
  <si>
    <t>MOV,DPTR</t>
  </si>
  <si>
    <t>MOV,R0</t>
  </si>
  <si>
    <t>MOV,R1</t>
  </si>
  <si>
    <t>MOV,R2</t>
  </si>
  <si>
    <t>MOV,R3</t>
  </si>
  <si>
    <t>MOV,R4</t>
  </si>
  <si>
    <t>MOV,R5</t>
  </si>
  <si>
    <t>MOV,R6</t>
  </si>
  <si>
    <t>MOV,R7</t>
  </si>
  <si>
    <t>MOVC,A</t>
  </si>
  <si>
    <t>MOVX,@DPTR</t>
  </si>
  <si>
    <t>MOVX,@R0</t>
  </si>
  <si>
    <t>MOVX,@R1</t>
  </si>
  <si>
    <t>MOVX,A</t>
  </si>
  <si>
    <t>ORL,A</t>
  </si>
  <si>
    <t>ORL,C</t>
  </si>
  <si>
    <t>ORL,direct</t>
  </si>
  <si>
    <t>SUBB,A</t>
  </si>
  <si>
    <t>XCH,A</t>
  </si>
  <si>
    <t>XCHD,A</t>
  </si>
  <si>
    <t>XRL,A</t>
  </si>
  <si>
    <t>XRL,direct</t>
  </si>
  <si>
    <t>CJNE,@R0,#data</t>
  </si>
  <si>
    <t>CJNE,@R1,#data</t>
  </si>
  <si>
    <t>CJNE,A,#data</t>
  </si>
  <si>
    <t>CJNE,A,direct</t>
  </si>
  <si>
    <t>CJNE,R0,#data</t>
  </si>
  <si>
    <t>CJNE,R1,#data</t>
  </si>
  <si>
    <t>CJNE,R2,#data</t>
  </si>
  <si>
    <t>CJNE,R3,#data</t>
  </si>
  <si>
    <t>CJNE,R4,#data</t>
  </si>
  <si>
    <t>CJNE,R5,#data</t>
  </si>
  <si>
    <t>CJNE,R6,#data</t>
  </si>
  <si>
    <t>CJNE,R7,#data</t>
  </si>
  <si>
    <t>字节数</t>
  </si>
  <si>
    <t>ADD A, #data</t>
  </si>
  <si>
    <t>ADD,A,#data</t>
  </si>
  <si>
    <t>ADD A, @R0</t>
  </si>
  <si>
    <t>ADD,A,@R0</t>
  </si>
  <si>
    <t>ADD A, @R1</t>
  </si>
  <si>
    <t>ADD,A,@R1</t>
  </si>
  <si>
    <t>ADD A, direct</t>
  </si>
  <si>
    <t>ADD,A,direct</t>
  </si>
  <si>
    <t>ADD A, R0</t>
  </si>
  <si>
    <t>ADD,A,R0</t>
  </si>
  <si>
    <t>ADD A, R1</t>
  </si>
  <si>
    <t>ADD,A,R1</t>
  </si>
  <si>
    <t>ADD A, R2</t>
  </si>
  <si>
    <t>ADD,A,R2</t>
  </si>
  <si>
    <t>ADD A, R3</t>
  </si>
  <si>
    <t>ADD,A,R3</t>
  </si>
  <si>
    <t>ADD A, R4</t>
  </si>
  <si>
    <t>ADD,A,R4</t>
  </si>
  <si>
    <t>ADD A, R5</t>
  </si>
  <si>
    <t>ADD,A,R5</t>
  </si>
  <si>
    <t>ADD A, R6</t>
  </si>
  <si>
    <t>ADD,A,R6</t>
  </si>
  <si>
    <t>ADD A, R7</t>
  </si>
  <si>
    <t>ADD,A,R7</t>
  </si>
  <si>
    <t>ADDC A, #data</t>
  </si>
  <si>
    <t>ADDC,A,#data</t>
  </si>
  <si>
    <t>ADDC A, @R0</t>
  </si>
  <si>
    <t>ADDC,A,@R0</t>
  </si>
  <si>
    <t>ADDC A, @R1</t>
  </si>
  <si>
    <t>ADDC,A,@R1</t>
  </si>
  <si>
    <t>ADDC A, direct</t>
  </si>
  <si>
    <t>ADDC,A,direct</t>
  </si>
  <si>
    <t>ADDC A, R0</t>
  </si>
  <si>
    <t>ADDC,A,R0</t>
  </si>
  <si>
    <t>ADDC A, R1</t>
  </si>
  <si>
    <t>ADDC,A,R1</t>
  </si>
  <si>
    <t>ADDC A, R2</t>
  </si>
  <si>
    <t>ADDC,A,R2</t>
  </si>
  <si>
    <t>ADDC A, R3</t>
  </si>
  <si>
    <t>ADDC,A,R3</t>
  </si>
  <si>
    <t>ADDC A, R4</t>
  </si>
  <si>
    <t>ADDC,A,R4</t>
  </si>
  <si>
    <t>ADDC A, R5</t>
  </si>
  <si>
    <t>ADDC,A,R5</t>
  </si>
  <si>
    <t>ADDC A, R6</t>
  </si>
  <si>
    <t>ADDC,A,R6</t>
  </si>
  <si>
    <t>ADDC A, R7</t>
  </si>
  <si>
    <t>ADDC,A,R7</t>
  </si>
  <si>
    <t>ANL A, #data</t>
  </si>
  <si>
    <t>ANL,A,#data</t>
  </si>
  <si>
    <t>ANL A, @R0</t>
  </si>
  <si>
    <t>ANL,A,@R0</t>
  </si>
  <si>
    <t>ANL A, @R1</t>
  </si>
  <si>
    <t>ANL,A,@R1</t>
  </si>
  <si>
    <t>ANL A, direct</t>
  </si>
  <si>
    <t>ANL,A,direct</t>
  </si>
  <si>
    <t>ANL A, R0</t>
  </si>
  <si>
    <t>ANL,A,R0</t>
  </si>
  <si>
    <t>ANL A, R1</t>
  </si>
  <si>
    <t>ANL,A,R1</t>
  </si>
  <si>
    <t>ANL A, R2</t>
  </si>
  <si>
    <t>ANL,A,R2</t>
  </si>
  <si>
    <t>ANL A, R3</t>
  </si>
  <si>
    <t>ANL,A,R3</t>
  </si>
  <si>
    <t>ANL A, R4</t>
  </si>
  <si>
    <t>ANL,A,R4</t>
  </si>
  <si>
    <t>ANL A, R5</t>
  </si>
  <si>
    <t>ANL,A,R5</t>
  </si>
  <si>
    <t>ANL A, R6</t>
  </si>
  <si>
    <t>ANL,A,R6</t>
  </si>
  <si>
    <t>ANL A, R7</t>
  </si>
  <si>
    <t>ANL,A,R7</t>
  </si>
  <si>
    <t>ANL C, /bit</t>
  </si>
  <si>
    <t>ANL,C,/bit</t>
  </si>
  <si>
    <t>B0</t>
  </si>
  <si>
    <t>ANL C, bit</t>
  </si>
  <si>
    <t>ANL,C,bit</t>
  </si>
  <si>
    <t>ANL direct, #data</t>
  </si>
  <si>
    <t>ANL,direct,#data</t>
  </si>
  <si>
    <t>CJNE @R0, #data, rel</t>
  </si>
  <si>
    <t>CJNE,@R0,#data,rel</t>
  </si>
  <si>
    <t>B6</t>
  </si>
  <si>
    <t>CJNE @R1, #data, rel</t>
  </si>
  <si>
    <t>CJNE,@R1,#data,rel</t>
  </si>
  <si>
    <t>CJNE A, #data, rel</t>
  </si>
  <si>
    <t>CJNE,A,#data,rel</t>
  </si>
  <si>
    <t>B4</t>
  </si>
  <si>
    <t>CJNE A, direct, rel</t>
  </si>
  <si>
    <t>CJNE,A,direct,rel</t>
  </si>
  <si>
    <t>B5</t>
  </si>
  <si>
    <t>CJNE R0, #data, rel</t>
  </si>
  <si>
    <t>CJNE,R0,#data,rel</t>
  </si>
  <si>
    <t>B8</t>
  </si>
  <si>
    <t>CJNE R1, #data, rel</t>
  </si>
  <si>
    <t>CJNE,R1,#data,rel</t>
  </si>
  <si>
    <t>CJNE R2, #data, rel</t>
  </si>
  <si>
    <t>CJNE,R2,#data,rel</t>
  </si>
  <si>
    <t>CJNE R3, #data, rel</t>
  </si>
  <si>
    <t>CJNE,R3,#data,rel</t>
  </si>
  <si>
    <t>CJNE R4, #data, rel</t>
  </si>
  <si>
    <t>CJNE,R4,#data,rel</t>
  </si>
  <si>
    <t>CJNE R5, #data, rel</t>
  </si>
  <si>
    <t>CJNE,R5,#data,rel</t>
  </si>
  <si>
    <t>CJNE R6, #data, rel</t>
  </si>
  <si>
    <t>CJNE,R6,#data,rel</t>
  </si>
  <si>
    <t>CJNE R7, #data, rel</t>
  </si>
  <si>
    <t>CJNE,R7,#data,rel</t>
  </si>
  <si>
    <t>CLR A</t>
  </si>
  <si>
    <t>CLR,A</t>
  </si>
  <si>
    <t>E4</t>
  </si>
  <si>
    <t>CLR bit</t>
  </si>
  <si>
    <t>CLR,bit</t>
  </si>
  <si>
    <t>C2</t>
  </si>
  <si>
    <t>CLR C</t>
  </si>
  <si>
    <t>CLR,C</t>
  </si>
  <si>
    <t>C3</t>
  </si>
  <si>
    <t>CPL A</t>
  </si>
  <si>
    <t>CPL,A</t>
  </si>
  <si>
    <t>F4</t>
  </si>
  <si>
    <t>CPL bit</t>
  </si>
  <si>
    <t>CPL,bit</t>
  </si>
  <si>
    <t>B2</t>
  </si>
  <si>
    <t>DA A</t>
  </si>
  <si>
    <t>DA,A</t>
  </si>
  <si>
    <t>D4</t>
  </si>
  <si>
    <t>DEC @R0</t>
  </si>
  <si>
    <t>DEC,@R0</t>
  </si>
  <si>
    <t>DEC @R1</t>
  </si>
  <si>
    <t>DEC,@R1</t>
  </si>
  <si>
    <t>DEC A</t>
  </si>
  <si>
    <t>DEC,A</t>
  </si>
  <si>
    <t>DEC direct</t>
  </si>
  <si>
    <t>DEC,direct</t>
  </si>
  <si>
    <t>DEC R0</t>
  </si>
  <si>
    <t>DEC,R0</t>
  </si>
  <si>
    <t>DEC R1</t>
  </si>
  <si>
    <t>DEC,R1</t>
  </si>
  <si>
    <t>DEC R2</t>
  </si>
  <si>
    <t>DEC,R2</t>
  </si>
  <si>
    <t>DEC R3</t>
  </si>
  <si>
    <t>DEC,R3</t>
  </si>
  <si>
    <t>DEC R4</t>
  </si>
  <si>
    <t>DEC,R4</t>
  </si>
  <si>
    <t>DEC R5</t>
  </si>
  <si>
    <t>DEC,R5</t>
  </si>
  <si>
    <t>DEC R6</t>
  </si>
  <si>
    <t>DEC,R6</t>
  </si>
  <si>
    <t>DEC R7</t>
  </si>
  <si>
    <t>DEC,R7</t>
  </si>
  <si>
    <t>DIV AB</t>
  </si>
  <si>
    <t>DIV,AB</t>
  </si>
  <si>
    <t>DJNZ R0, rel</t>
  </si>
  <si>
    <t>DJNZ,R0,rel</t>
  </si>
  <si>
    <t>D8</t>
  </si>
  <si>
    <t>DJNZ R1, rel</t>
  </si>
  <si>
    <t>DJNZ,R1,rel</t>
  </si>
  <si>
    <t>DJNZ R2, rel</t>
  </si>
  <si>
    <t>DJNZ,R2,rel</t>
  </si>
  <si>
    <t>DJNZ R3, rel</t>
  </si>
  <si>
    <t>DJNZ,R3,rel</t>
  </si>
  <si>
    <t>DJNZ R4, rel</t>
  </si>
  <si>
    <t>DJNZ,R4,rel</t>
  </si>
  <si>
    <t>DJNZ R5, rel</t>
  </si>
  <si>
    <t>DJNZ,R5,rel</t>
  </si>
  <si>
    <t>DJNZ R6, rel</t>
  </si>
  <si>
    <t>DJNZ,R6,rel</t>
  </si>
  <si>
    <t>DJNZ R7, rel</t>
  </si>
  <si>
    <t>DJNZ,R7,rel</t>
  </si>
  <si>
    <t>INC @R0</t>
  </si>
  <si>
    <t>INC,@R0</t>
  </si>
  <si>
    <t>INC @R1</t>
  </si>
  <si>
    <t>INC,@R1</t>
  </si>
  <si>
    <t>INC A</t>
  </si>
  <si>
    <t>INC,A</t>
  </si>
  <si>
    <t>INC direct</t>
  </si>
  <si>
    <t>INC,direct</t>
  </si>
  <si>
    <t>INC DPTR</t>
  </si>
  <si>
    <t>INC,DPTR</t>
  </si>
  <si>
    <t>A3</t>
  </si>
  <si>
    <t>INC R0</t>
  </si>
  <si>
    <t>INC,R0</t>
  </si>
  <si>
    <t>INC R1</t>
  </si>
  <si>
    <t>INC,R1</t>
  </si>
  <si>
    <t>INC R2</t>
  </si>
  <si>
    <t>INC,R2</t>
  </si>
  <si>
    <t>INC R3</t>
  </si>
  <si>
    <t>INC,R3</t>
  </si>
  <si>
    <t>INC R4</t>
  </si>
  <si>
    <t>INC,R4</t>
  </si>
  <si>
    <t>INC R5</t>
  </si>
  <si>
    <t>INC,R5</t>
  </si>
  <si>
    <t>INC R6</t>
  </si>
  <si>
    <t>INC,R6</t>
  </si>
  <si>
    <t>INC R7</t>
  </si>
  <si>
    <t>INC,R7</t>
  </si>
  <si>
    <t>JB bit, rel</t>
  </si>
  <si>
    <t>JB,bit,rel</t>
  </si>
  <si>
    <t>JBC bit, rel</t>
  </si>
  <si>
    <t>JBC,bit,rel</t>
  </si>
  <si>
    <t>JC rel</t>
  </si>
  <si>
    <t>JC,rel</t>
  </si>
  <si>
    <t>JMP,@A+DPTR</t>
  </si>
  <si>
    <t>JNB bit, rel</t>
  </si>
  <si>
    <t>JNB,bit,rel</t>
  </si>
  <si>
    <t>JNC rel</t>
  </si>
  <si>
    <t>JNC,rel</t>
  </si>
  <si>
    <t>JNZ rel</t>
  </si>
  <si>
    <t>JNZ,rel</t>
  </si>
  <si>
    <t>JZ rel</t>
  </si>
  <si>
    <t>JZ,rel</t>
  </si>
  <si>
    <t>LCALL addr16</t>
  </si>
  <si>
    <t>LCALL,addr16</t>
  </si>
  <si>
    <t>LJMP addr16</t>
  </si>
  <si>
    <t>LJMP,addr16</t>
  </si>
  <si>
    <t>MOV @R0, #data</t>
  </si>
  <si>
    <t>MOV,@R0,#data</t>
  </si>
  <si>
    <t>MOV @R1, #data</t>
  </si>
  <si>
    <t>MOV,@R1,#data</t>
  </si>
  <si>
    <t>MOV @R0, A</t>
  </si>
  <si>
    <t>MOV,@R0,A</t>
  </si>
  <si>
    <t>F6</t>
  </si>
  <si>
    <t>MOV @R1, A</t>
  </si>
  <si>
    <t>MOV,@R1,A</t>
  </si>
  <si>
    <t>MOV @R0, direct</t>
  </si>
  <si>
    <t>MOV,@R0,direct</t>
  </si>
  <si>
    <t>A6</t>
  </si>
  <si>
    <t>MOV @R1, direct</t>
  </si>
  <si>
    <t>MOV,@R1,direct</t>
  </si>
  <si>
    <t>MOV A, #data</t>
  </si>
  <si>
    <t>MOV,A,#data</t>
  </si>
  <si>
    <t>MOV A, @R0</t>
  </si>
  <si>
    <t>MOV,A,@R0</t>
  </si>
  <si>
    <t>E6</t>
  </si>
  <si>
    <t>MOV A, @R1</t>
  </si>
  <si>
    <t>MOV,A,@R1</t>
  </si>
  <si>
    <t>MOV A, direct</t>
  </si>
  <si>
    <t>MOV,A,direct</t>
  </si>
  <si>
    <t>E5</t>
  </si>
  <si>
    <t>MOV A, R0</t>
  </si>
  <si>
    <t>MOV,A,R0</t>
  </si>
  <si>
    <t>E8</t>
  </si>
  <si>
    <t>MOV A, R1</t>
  </si>
  <si>
    <t>MOV,A,R1</t>
  </si>
  <si>
    <t>MOV A, R2</t>
  </si>
  <si>
    <t>MOV,A,R2</t>
  </si>
  <si>
    <t>MOV A, R3</t>
  </si>
  <si>
    <t>MOV,A,R3</t>
  </si>
  <si>
    <t>MOV A, R4</t>
  </si>
  <si>
    <t>MOV,A,R4</t>
  </si>
  <si>
    <t>MOV A, R5</t>
  </si>
  <si>
    <t>MOV,A,R5</t>
  </si>
  <si>
    <t>MOV A, R6</t>
  </si>
  <si>
    <t>MOV,A,R6</t>
  </si>
  <si>
    <t>MOV A, R7</t>
  </si>
  <si>
    <t>MOV,A,R7</t>
  </si>
  <si>
    <t>MOV bit, C</t>
  </si>
  <si>
    <t>MOV,bit,C</t>
  </si>
  <si>
    <t>MOV C, bit</t>
  </si>
  <si>
    <t>MOV,C,bit</t>
  </si>
  <si>
    <t>A2</t>
  </si>
  <si>
    <t>MOV direct, #data</t>
  </si>
  <si>
    <t>MOV,direct,#data</t>
  </si>
  <si>
    <t>MOV direct, @R0</t>
  </si>
  <si>
    <t>MOV,direct,@R0</t>
  </si>
  <si>
    <t>MOV direct, @R1</t>
  </si>
  <si>
    <t>MOV,direct,@R1</t>
  </si>
  <si>
    <t>MOV direct, A</t>
  </si>
  <si>
    <t>MOV,direct,A</t>
  </si>
  <si>
    <t>F5</t>
  </si>
  <si>
    <t>MOV direct, R0</t>
  </si>
  <si>
    <t>MOV,direct,R0</t>
  </si>
  <si>
    <t>MOV direct, R1</t>
  </si>
  <si>
    <t>MOV,direct,R1</t>
  </si>
  <si>
    <t>MOV direct, R2</t>
  </si>
  <si>
    <t>MOV,direct,R2</t>
  </si>
  <si>
    <t>MOV direct, R3</t>
  </si>
  <si>
    <t>MOV,direct,R3</t>
  </si>
  <si>
    <t>MOV direct, R4</t>
  </si>
  <si>
    <t>MOV,direct,R4</t>
  </si>
  <si>
    <t>MOV direct, R5</t>
  </si>
  <si>
    <t>MOV,direct,R5</t>
  </si>
  <si>
    <t>MOV direct, R6</t>
  </si>
  <si>
    <t>MOV,direct,R6</t>
  </si>
  <si>
    <t>MOV direct, R7</t>
  </si>
  <si>
    <t>MOV,direct,R7</t>
  </si>
  <si>
    <t>MOV direct1, direct2</t>
  </si>
  <si>
    <t>MOV,direct,direct</t>
  </si>
  <si>
    <t>MOV DPTR, #data16</t>
  </si>
  <si>
    <t>MOV,DPTR,#data16</t>
  </si>
  <si>
    <t>MOV R0, #data</t>
  </si>
  <si>
    <t>MOV,R0,#data</t>
  </si>
  <si>
    <t>MOV R1, #data</t>
  </si>
  <si>
    <t>MOV,R1,#data</t>
  </si>
  <si>
    <t>MOV R2, #data</t>
  </si>
  <si>
    <t>MOV,R2,#data</t>
  </si>
  <si>
    <t>MOV R3, #data</t>
  </si>
  <si>
    <t>MOV,R3,#data</t>
  </si>
  <si>
    <t>MOV R4, #data</t>
  </si>
  <si>
    <t>MOV,R4,#data</t>
  </si>
  <si>
    <t>MOV R5, #data</t>
  </si>
  <si>
    <t>MOV,R5,#data</t>
  </si>
  <si>
    <t>MOV R6, #data</t>
  </si>
  <si>
    <t>MOV,R6,#data</t>
  </si>
  <si>
    <t>MOV R7, #data</t>
  </si>
  <si>
    <t>MOV,R7,#data</t>
  </si>
  <si>
    <t>MOV R0, A</t>
  </si>
  <si>
    <t>MOV,R0,A</t>
  </si>
  <si>
    <t>F8</t>
  </si>
  <si>
    <t>MOV R1, A</t>
  </si>
  <si>
    <t>MOV,R1,A</t>
  </si>
  <si>
    <t>MOV R2, A</t>
  </si>
  <si>
    <t>MOV,R2,A</t>
  </si>
  <si>
    <t>MOV R3, A</t>
  </si>
  <si>
    <t>MOV,R3,A</t>
  </si>
  <si>
    <t>MOV R4, A</t>
  </si>
  <si>
    <t>MOV,R4,A</t>
  </si>
  <si>
    <t>MOV R5, A</t>
  </si>
  <si>
    <t>MOV,R5,A</t>
  </si>
  <si>
    <t>MOV R6, A</t>
  </si>
  <si>
    <t>MOV,R6,A</t>
  </si>
  <si>
    <t>MOV R7, A</t>
  </si>
  <si>
    <t>MOV,R7,A</t>
  </si>
  <si>
    <t>MOV R0, direct</t>
  </si>
  <si>
    <t>MOV,R0,direct</t>
  </si>
  <si>
    <t>A8</t>
  </si>
  <si>
    <t>MOV R1, direct</t>
  </si>
  <si>
    <t>MOV,R1,direct</t>
  </si>
  <si>
    <t>MOV R2, direct</t>
  </si>
  <si>
    <t>MOV,R2,direct</t>
  </si>
  <si>
    <t>MOV R3, direct</t>
  </si>
  <si>
    <t>MOV,R3,direct</t>
  </si>
  <si>
    <t>MOV R4, direct</t>
  </si>
  <si>
    <t>MOV,R4,direct</t>
  </si>
  <si>
    <t>MOV R5, direct</t>
  </si>
  <si>
    <t>MOV,R5,direct</t>
  </si>
  <si>
    <t>MOV R6, direct</t>
  </si>
  <si>
    <t>MOV,R6,direct</t>
  </si>
  <si>
    <t>MOV R7, direct</t>
  </si>
  <si>
    <t>MOV,R7,direct</t>
  </si>
  <si>
    <t>MOVC A, @A+DPTR</t>
  </si>
  <si>
    <t>MOVC,A,@A+DPTR</t>
  </si>
  <si>
    <t>MOVC A, @A+PC</t>
  </si>
  <si>
    <t>MOVC,A,@A+PC</t>
  </si>
  <si>
    <t>MOVX @DPTR, A</t>
  </si>
  <si>
    <t>MOVX,@DPTR,A</t>
  </si>
  <si>
    <t>MOVX @R0, A</t>
  </si>
  <si>
    <t>MOVX,@R0,A</t>
  </si>
  <si>
    <t>F2</t>
  </si>
  <si>
    <t>MOVX @R1, A</t>
  </si>
  <si>
    <t>MOVX,@R1,A</t>
  </si>
  <si>
    <t>MOVX A, @DPTR</t>
  </si>
  <si>
    <t>MOVX,A,@DPTR</t>
  </si>
  <si>
    <t>E0</t>
  </si>
  <si>
    <t>MOVX A, @R0</t>
  </si>
  <si>
    <t>MOVX,A,@R0</t>
  </si>
  <si>
    <t>E2</t>
  </si>
  <si>
    <t>MOVX A, @R1</t>
  </si>
  <si>
    <t>MOVX,A,@R1</t>
  </si>
  <si>
    <t>MUL AB</t>
  </si>
  <si>
    <t>MUL,AB</t>
  </si>
  <si>
    <t>A4</t>
  </si>
  <si>
    <t>ORL A, #data</t>
  </si>
  <si>
    <t>ORL,A,#data</t>
  </si>
  <si>
    <t>ORL A, @R0</t>
  </si>
  <si>
    <t>ORL,A,@R0</t>
  </si>
  <si>
    <t>ORL A, @R1</t>
  </si>
  <si>
    <t>ORL,A,@R1</t>
  </si>
  <si>
    <t>ORL A, direct</t>
  </si>
  <si>
    <t>ORL,A,direct</t>
  </si>
  <si>
    <t>ORL A, R0</t>
  </si>
  <si>
    <t>ORL,A,R0</t>
  </si>
  <si>
    <t>ORL A, R1</t>
  </si>
  <si>
    <t>ORL,A,R1</t>
  </si>
  <si>
    <t>ORL A, R2</t>
  </si>
  <si>
    <t>ORL,A,R2</t>
  </si>
  <si>
    <t>ORL A, R3</t>
  </si>
  <si>
    <t>ORL,A,R3</t>
  </si>
  <si>
    <t>ORL A, R4</t>
  </si>
  <si>
    <t>ORL,A,R4</t>
  </si>
  <si>
    <t>ORL A, R5</t>
  </si>
  <si>
    <t>ORL,A,R5</t>
  </si>
  <si>
    <t>ORL A, R6</t>
  </si>
  <si>
    <t>ORL,A,R6</t>
  </si>
  <si>
    <t>ORL A, R7</t>
  </si>
  <si>
    <t>ORL,A,R7</t>
  </si>
  <si>
    <t>ORL C, /bit</t>
  </si>
  <si>
    <t>ORL,C,/bit</t>
  </si>
  <si>
    <t>A0</t>
  </si>
  <si>
    <t>ORL C, bit</t>
  </si>
  <si>
    <t>ORL,C,bit</t>
  </si>
  <si>
    <t>ORL direct, #data</t>
  </si>
  <si>
    <t>ORL,direct,#data</t>
  </si>
  <si>
    <t>POP direct</t>
  </si>
  <si>
    <t>POP,direct</t>
  </si>
  <si>
    <t>D0</t>
  </si>
  <si>
    <t>PUSH direct</t>
  </si>
  <si>
    <t>PUSH,direct</t>
  </si>
  <si>
    <t>C0</t>
  </si>
  <si>
    <t>RL A</t>
  </si>
  <si>
    <t>RL,A</t>
  </si>
  <si>
    <t>RLC A</t>
  </si>
  <si>
    <t>RLC,A</t>
  </si>
  <si>
    <t>RR A</t>
  </si>
  <si>
    <t>RR,A</t>
  </si>
  <si>
    <t>RRC A</t>
  </si>
  <si>
    <t>RRC,A</t>
  </si>
  <si>
    <t>SETB bit</t>
  </si>
  <si>
    <t>SETB,bit</t>
  </si>
  <si>
    <t>D2</t>
  </si>
  <si>
    <t>SETB C</t>
  </si>
  <si>
    <t>SETB,C</t>
  </si>
  <si>
    <t>D3</t>
  </si>
  <si>
    <t>SJMP rel</t>
  </si>
  <si>
    <t>SJMP,rel</t>
  </si>
  <si>
    <t>SUBB A, #data</t>
  </si>
  <si>
    <t>SUBB,A,#data</t>
  </si>
  <si>
    <t>SUBB A, @R0</t>
  </si>
  <si>
    <t>SUBB,A,@R0</t>
  </si>
  <si>
    <t>SUBB A, @R1</t>
  </si>
  <si>
    <t>SUBB,A,@R1</t>
  </si>
  <si>
    <t>SUBB A, direct</t>
  </si>
  <si>
    <t>SUBB,A,direct</t>
  </si>
  <si>
    <t>SUBB A, R0</t>
  </si>
  <si>
    <t>SUBB,A,R0</t>
  </si>
  <si>
    <t>SUBB A, R1</t>
  </si>
  <si>
    <t>SUBB,A,R1</t>
  </si>
  <si>
    <t>SUBB A, R2</t>
  </si>
  <si>
    <t>SUBB,A,R2</t>
  </si>
  <si>
    <t>SUBB A, R3</t>
  </si>
  <si>
    <t>SUBB,A,R3</t>
  </si>
  <si>
    <t>SUBB A, R4</t>
  </si>
  <si>
    <t>SUBB,A,R4</t>
  </si>
  <si>
    <t>SUBB A, R5</t>
  </si>
  <si>
    <t>SUBB,A,R5</t>
  </si>
  <si>
    <t>SUBB A, R6</t>
  </si>
  <si>
    <t>SUBB,A,R6</t>
  </si>
  <si>
    <t>SUBB A, R7</t>
  </si>
  <si>
    <t>SUBB,A,R7</t>
  </si>
  <si>
    <t>SWAP A</t>
  </si>
  <si>
    <t>SWAP,A</t>
  </si>
  <si>
    <t>C4</t>
  </si>
  <si>
    <t>XCH A, @R0</t>
  </si>
  <si>
    <t>XCH,A,@R0</t>
  </si>
  <si>
    <t>C6</t>
  </si>
  <si>
    <t>XCH A, @R1</t>
  </si>
  <si>
    <t>XCH,A,@R1</t>
  </si>
  <si>
    <t>XCH A, direct</t>
  </si>
  <si>
    <t>XCH,A,direct</t>
  </si>
  <si>
    <t>C5</t>
  </si>
  <si>
    <t>XCH A, R0</t>
  </si>
  <si>
    <t>XCH,A,R0</t>
  </si>
  <si>
    <t>C8</t>
  </si>
  <si>
    <t>XCH A, R1</t>
  </si>
  <si>
    <t>XCH,A,R1</t>
  </si>
  <si>
    <t>XCH A, R2</t>
  </si>
  <si>
    <t>XCH,A,R2</t>
  </si>
  <si>
    <t>XCH A, R3</t>
  </si>
  <si>
    <t>XCH,A,R3</t>
  </si>
  <si>
    <t>XCH A, R4</t>
  </si>
  <si>
    <t>XCH,A,R4</t>
  </si>
  <si>
    <t>XCH A, R5</t>
  </si>
  <si>
    <t>XCH,A,R5</t>
  </si>
  <si>
    <t>XCH A, R6</t>
  </si>
  <si>
    <t>XCH,A,R6</t>
  </si>
  <si>
    <t>XCH A, R7</t>
  </si>
  <si>
    <t>XCH,A,R7</t>
  </si>
  <si>
    <t>XCHD A, @R0</t>
  </si>
  <si>
    <t>XCHD,A,@R0</t>
  </si>
  <si>
    <t>D6</t>
  </si>
  <si>
    <t>XCHD A, @R1</t>
  </si>
  <si>
    <t>XCHD,A,@R1</t>
  </si>
  <si>
    <t>XRL A, #data</t>
  </si>
  <si>
    <t>XRL,A,#data</t>
  </si>
  <si>
    <t>XRL A, @R0</t>
  </si>
  <si>
    <t>XRL,A,@R0</t>
  </si>
  <si>
    <t>XRL A, @R1</t>
  </si>
  <si>
    <t>XRL,A,@R1</t>
  </si>
  <si>
    <t>XRL A, direct</t>
  </si>
  <si>
    <t>XRL,A,direct</t>
  </si>
  <si>
    <t>XRL A, R0</t>
  </si>
  <si>
    <t>XRL,A,R0</t>
  </si>
  <si>
    <t>XRL A, R1</t>
  </si>
  <si>
    <t>XRL,A,R1</t>
  </si>
  <si>
    <t>XRL A, R2</t>
  </si>
  <si>
    <t>XRL,A,R2</t>
  </si>
  <si>
    <t>XRL A, R3</t>
  </si>
  <si>
    <t>XRL,A,R3</t>
  </si>
  <si>
    <t>XRL A, R4</t>
  </si>
  <si>
    <t>XRL,A,R4</t>
  </si>
  <si>
    <t>XRL A, R5</t>
  </si>
  <si>
    <t>XRL,A,R5</t>
  </si>
  <si>
    <t>XRL A, R6</t>
  </si>
  <si>
    <t>XRL,A,R6</t>
  </si>
  <si>
    <t>XRL A, R7</t>
  </si>
  <si>
    <t>XRL,A,R7</t>
  </si>
  <si>
    <t>XRL direct, #data</t>
  </si>
  <si>
    <t>XRL,direct,#data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</si>
</sst>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9.75"/>
      <color rgb="FF0F1115"/>
      <name val="宋体"/>
      <charset val="134"/>
      <scheme val="minor"/>
    </font>
    <font>
      <sz val="9.75"/>
      <name val="宋体"/>
      <charset val="134"/>
      <scheme val="minor"/>
    </font>
    <font>
      <sz val="9.75"/>
      <color rgb="FF00B050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1.25"/>
      <color rgb="FF0F1115"/>
      <name val="宋体"/>
      <charset val="134"/>
      <scheme val="minor"/>
    </font>
    <font>
      <sz val="12"/>
      <color rgb="FF0F1115"/>
      <name val="宋体"/>
      <charset val="134"/>
      <scheme val="minor"/>
    </font>
    <font>
      <sz val="11.25"/>
      <color theme="1"/>
      <name val="宋体"/>
      <charset val="134"/>
      <scheme val="minor"/>
    </font>
    <font>
      <sz val="10"/>
      <color rgb="FF0F111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.75"/>
      <color rgb="FF0F1115"/>
      <name val="Menl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26" applyNumberFormat="0" applyAlignment="0" applyProtection="0">
      <alignment vertical="center"/>
    </xf>
    <xf numFmtId="0" fontId="23" fillId="10" borderId="27" applyNumberFormat="0" applyAlignment="0" applyProtection="0">
      <alignment vertical="center"/>
    </xf>
    <xf numFmtId="0" fontId="24" fillId="10" borderId="26" applyNumberFormat="0" applyAlignment="0" applyProtection="0">
      <alignment vertical="center"/>
    </xf>
    <xf numFmtId="0" fontId="25" fillId="11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workbookViewId="0">
      <selection activeCell="A45" sqref="A45:A53"/>
    </sheetView>
  </sheetViews>
  <sheetFormatPr defaultColWidth="9.23076923076923" defaultRowHeight="16.8"/>
  <cols>
    <col min="1" max="1" width="9.23076923076923" style="104"/>
  </cols>
  <sheetData>
    <row r="1" ht="18" spans="1:1">
      <c r="A1" s="105" t="s">
        <v>0</v>
      </c>
    </row>
    <row r="2" ht="18" spans="1:1">
      <c r="A2" s="106" t="s">
        <v>1</v>
      </c>
    </row>
    <row r="3" ht="18" spans="1:1">
      <c r="A3" s="106" t="s">
        <v>2</v>
      </c>
    </row>
    <row r="4" ht="18" spans="1:1">
      <c r="A4" s="106" t="s">
        <v>3</v>
      </c>
    </row>
    <row r="5" ht="18" spans="1:1">
      <c r="A5" s="105" t="s">
        <v>4</v>
      </c>
    </row>
    <row r="6" spans="1:1">
      <c r="A6" s="104" t="s">
        <v>5</v>
      </c>
    </row>
    <row r="7" spans="1:1">
      <c r="A7" s="104" t="s">
        <v>6</v>
      </c>
    </row>
    <row r="8" spans="1:1">
      <c r="A8" s="104" t="s">
        <v>7</v>
      </c>
    </row>
    <row r="9" spans="1:1">
      <c r="A9" s="104" t="s">
        <v>8</v>
      </c>
    </row>
    <row r="10" spans="1:1">
      <c r="A10" s="104" t="s">
        <v>9</v>
      </c>
    </row>
    <row r="12" spans="1:1">
      <c r="A12" s="104" t="s">
        <v>10</v>
      </c>
    </row>
    <row r="13" spans="1:1">
      <c r="A13" s="104" t="s">
        <v>11</v>
      </c>
    </row>
    <row r="14" spans="1:1">
      <c r="A14" s="104" t="s">
        <v>12</v>
      </c>
    </row>
    <row r="16" spans="1:1">
      <c r="A16" s="104" t="s">
        <v>13</v>
      </c>
    </row>
    <row r="17" spans="1:1">
      <c r="A17" s="104" t="s">
        <v>14</v>
      </c>
    </row>
    <row r="18" spans="1:1">
      <c r="A18" s="104" t="s">
        <v>15</v>
      </c>
    </row>
    <row r="19" spans="1:1">
      <c r="A19" s="104" t="s">
        <v>16</v>
      </c>
    </row>
    <row r="20" spans="1:1">
      <c r="A20" s="104" t="s">
        <v>17</v>
      </c>
    </row>
    <row r="21" spans="1:1">
      <c r="A21" s="104" t="s">
        <v>18</v>
      </c>
    </row>
    <row r="23" spans="1:1">
      <c r="A23" s="104" t="s">
        <v>19</v>
      </c>
    </row>
    <row r="24" spans="1:1">
      <c r="A24" s="104" t="s">
        <v>20</v>
      </c>
    </row>
    <row r="25" spans="1:1">
      <c r="A25" s="104" t="s">
        <v>21</v>
      </c>
    </row>
    <row r="27" spans="1:1">
      <c r="A27" s="104" t="s">
        <v>22</v>
      </c>
    </row>
    <row r="28" spans="1:1">
      <c r="A28" s="104" t="s">
        <v>23</v>
      </c>
    </row>
    <row r="29" spans="1:1">
      <c r="A29" s="104" t="s">
        <v>24</v>
      </c>
    </row>
    <row r="31" spans="1:1">
      <c r="A31" s="104" t="s">
        <v>25</v>
      </c>
    </row>
    <row r="32" spans="1:1">
      <c r="A32" s="104" t="s">
        <v>26</v>
      </c>
    </row>
    <row r="33" spans="1:1">
      <c r="A33" s="104" t="s">
        <v>27</v>
      </c>
    </row>
    <row r="34" spans="1:1">
      <c r="A34" s="104" t="s">
        <v>28</v>
      </c>
    </row>
    <row r="35" spans="1:1">
      <c r="A35" s="104" t="s">
        <v>29</v>
      </c>
    </row>
    <row r="36" spans="1:1">
      <c r="A36" s="104" t="s">
        <v>30</v>
      </c>
    </row>
    <row r="37" spans="1:1">
      <c r="A37" s="104" t="s">
        <v>31</v>
      </c>
    </row>
    <row r="39" spans="1:1">
      <c r="A39" s="104" t="s">
        <v>32</v>
      </c>
    </row>
    <row r="40" spans="1:1">
      <c r="A40" s="104" t="s">
        <v>33</v>
      </c>
    </row>
    <row r="41" spans="1:1">
      <c r="A41" s="104" t="s">
        <v>34</v>
      </c>
    </row>
    <row r="42" spans="1:1">
      <c r="A42" s="104" t="s">
        <v>35</v>
      </c>
    </row>
    <row r="44" spans="1:1">
      <c r="A44" s="104" t="s">
        <v>36</v>
      </c>
    </row>
    <row r="45" spans="1:1">
      <c r="A45" s="104" t="s">
        <v>37</v>
      </c>
    </row>
    <row r="46" spans="1:1">
      <c r="A46" s="104" t="s">
        <v>38</v>
      </c>
    </row>
    <row r="48" spans="1:1">
      <c r="A48" s="104" t="s">
        <v>39</v>
      </c>
    </row>
    <row r="49" spans="1:1">
      <c r="A49" s="104" t="s">
        <v>40</v>
      </c>
    </row>
    <row r="50" spans="1:1">
      <c r="A50" s="104" t="s">
        <v>41</v>
      </c>
    </row>
    <row r="51" spans="1:1">
      <c r="A51" s="104" t="s">
        <v>42</v>
      </c>
    </row>
    <row r="52" spans="1:1">
      <c r="A52" s="104" t="s">
        <v>43</v>
      </c>
    </row>
    <row r="53" spans="1:1">
      <c r="A53" s="104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G16" sqref="G16"/>
    </sheetView>
  </sheetViews>
  <sheetFormatPr defaultColWidth="9.23076923076923" defaultRowHeight="16.8" outlineLevelRow="7"/>
  <sheetData>
    <row r="1" spans="1:1">
      <c r="A1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  <row r="8" spans="1:1">
      <c r="A8" t="s">
        <v>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workbookViewId="0">
      <selection activeCell="N4" sqref="N4:O5"/>
    </sheetView>
  </sheetViews>
  <sheetFormatPr defaultColWidth="9.23076923076923" defaultRowHeight="16.8"/>
  <cols>
    <col min="1" max="1" width="4.69230769230769" customWidth="1"/>
    <col min="2" max="2" width="4.69230769230769" style="93" customWidth="1"/>
    <col min="3" max="3" width="9.23076923076923" style="94"/>
    <col min="4" max="4" width="4.69230769230769" customWidth="1"/>
    <col min="5" max="5" width="4.69230769230769" style="93" customWidth="1"/>
    <col min="7" max="7" width="4.69230769230769" customWidth="1"/>
    <col min="8" max="8" width="4.69230769230769" style="93" customWidth="1"/>
    <col min="10" max="10" width="4.69230769230769" customWidth="1"/>
    <col min="11" max="11" width="4.69230769230769" style="93" customWidth="1"/>
    <col min="13" max="13" width="4.69230769230769" customWidth="1"/>
    <col min="14" max="14" width="4.69230769230769" style="93" customWidth="1"/>
    <col min="15" max="15" width="9.23076923076923" style="94"/>
    <col min="16" max="16" width="4.69230769230769" customWidth="1"/>
    <col min="17" max="17" width="4.69230769230769" style="93" customWidth="1"/>
    <col min="18" max="18" width="9.23076923076923" style="94"/>
    <col min="19" max="19" width="4.69230769230769" customWidth="1"/>
    <col min="20" max="20" width="4.69230769230769" style="93" customWidth="1"/>
    <col min="21" max="21" width="9.23076923076923" style="94"/>
    <col min="22" max="22" width="4.69230769230769" customWidth="1"/>
    <col min="23" max="23" width="4.69230769230769" style="93" customWidth="1"/>
    <col min="24" max="24" width="9.23076923076923" style="94"/>
  </cols>
  <sheetData>
    <row r="1" spans="1:24">
      <c r="A1" s="95" t="s">
        <v>53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>
      <c r="A2" s="96">
        <v>0</v>
      </c>
      <c r="B2" s="97" t="str">
        <f>DEC2HEX(A2)</f>
        <v>0</v>
      </c>
      <c r="C2" s="98" t="s">
        <v>54</v>
      </c>
      <c r="D2" s="96">
        <v>32</v>
      </c>
      <c r="E2" s="97" t="str">
        <f>DEC2HEX(D2)</f>
        <v>20</v>
      </c>
      <c r="F2" s="101"/>
      <c r="G2" s="96">
        <v>64</v>
      </c>
      <c r="H2" s="97" t="str">
        <f>DEC2HEX(G2)</f>
        <v>40</v>
      </c>
      <c r="I2" s="102"/>
      <c r="J2" s="96">
        <v>96</v>
      </c>
      <c r="K2" s="97" t="str">
        <f>DEC2HEX(J2)</f>
        <v>60</v>
      </c>
      <c r="L2" s="102"/>
      <c r="M2" s="96">
        <v>128</v>
      </c>
      <c r="N2" s="97" t="str">
        <f>DEC2HEX(M2)</f>
        <v>80</v>
      </c>
      <c r="O2" s="103" t="s">
        <v>55</v>
      </c>
      <c r="P2" s="96">
        <v>160</v>
      </c>
      <c r="Q2" s="97" t="str">
        <f>DEC2HEX(P2)</f>
        <v>A0</v>
      </c>
      <c r="R2" s="103" t="s">
        <v>56</v>
      </c>
      <c r="S2" s="96">
        <v>192</v>
      </c>
      <c r="T2" s="97" t="str">
        <f>DEC2HEX(S2)</f>
        <v>C0</v>
      </c>
      <c r="U2" s="95"/>
      <c r="V2" s="96">
        <v>224</v>
      </c>
      <c r="W2" s="97" t="str">
        <f>DEC2HEX(V2)</f>
        <v>E0</v>
      </c>
      <c r="X2" s="103" t="s">
        <v>57</v>
      </c>
    </row>
    <row r="3" spans="1:24">
      <c r="A3" s="96">
        <v>1</v>
      </c>
      <c r="B3" s="97" t="str">
        <f>DEC2HEX(A3)</f>
        <v>1</v>
      </c>
      <c r="C3" s="98" t="s">
        <v>58</v>
      </c>
      <c r="D3" s="96">
        <v>33</v>
      </c>
      <c r="E3" s="97" t="str">
        <f t="shared" ref="E3:E33" si="0">DEC2HEX(D3)</f>
        <v>21</v>
      </c>
      <c r="F3" s="101"/>
      <c r="G3" s="96">
        <v>65</v>
      </c>
      <c r="H3" s="97" t="str">
        <f t="shared" ref="H3:H33" si="1">DEC2HEX(G3)</f>
        <v>41</v>
      </c>
      <c r="I3" s="102"/>
      <c r="J3" s="96">
        <v>97</v>
      </c>
      <c r="K3" s="97" t="str">
        <f t="shared" ref="K3:K33" si="2">DEC2HEX(J3)</f>
        <v>61</v>
      </c>
      <c r="L3" s="102"/>
      <c r="M3" s="96">
        <v>129</v>
      </c>
      <c r="N3" s="97" t="str">
        <f t="shared" ref="N3:N33" si="3">DEC2HEX(M3)</f>
        <v>81</v>
      </c>
      <c r="O3" s="95" t="s">
        <v>59</v>
      </c>
      <c r="P3" s="96">
        <v>161</v>
      </c>
      <c r="Q3" s="97" t="str">
        <f t="shared" ref="Q3:Q33" si="4">DEC2HEX(P3)</f>
        <v>A1</v>
      </c>
      <c r="R3" s="95"/>
      <c r="S3" s="96">
        <v>193</v>
      </c>
      <c r="T3" s="97" t="str">
        <f t="shared" ref="T3:T33" si="5">DEC2HEX(S3)</f>
        <v>C1</v>
      </c>
      <c r="U3" s="95"/>
      <c r="V3" s="96">
        <v>225</v>
      </c>
      <c r="W3" s="97" t="str">
        <f t="shared" ref="W3:W33" si="6">DEC2HEX(V3)</f>
        <v>E1</v>
      </c>
      <c r="X3" s="95"/>
    </row>
    <row r="4" spans="1:24">
      <c r="A4" s="96">
        <v>2</v>
      </c>
      <c r="B4" s="97" t="str">
        <f t="shared" ref="B4:B34" si="7">DEC2HEX(A4)</f>
        <v>2</v>
      </c>
      <c r="C4" s="98" t="s">
        <v>60</v>
      </c>
      <c r="D4" s="96">
        <v>34</v>
      </c>
      <c r="E4" s="97" t="str">
        <f t="shared" si="0"/>
        <v>22</v>
      </c>
      <c r="F4" s="101"/>
      <c r="G4" s="96">
        <v>66</v>
      </c>
      <c r="H4" s="97" t="str">
        <f t="shared" si="1"/>
        <v>42</v>
      </c>
      <c r="I4" s="102"/>
      <c r="J4" s="96">
        <v>98</v>
      </c>
      <c r="K4" s="97" t="str">
        <f t="shared" si="2"/>
        <v>62</v>
      </c>
      <c r="L4" s="102"/>
      <c r="M4" s="96">
        <v>130</v>
      </c>
      <c r="N4" s="97" t="str">
        <f t="shared" si="3"/>
        <v>82</v>
      </c>
      <c r="O4" s="95" t="s">
        <v>61</v>
      </c>
      <c r="P4" s="96">
        <v>162</v>
      </c>
      <c r="Q4" s="97" t="str">
        <f t="shared" si="4"/>
        <v>A2</v>
      </c>
      <c r="R4" s="95"/>
      <c r="S4" s="96">
        <v>194</v>
      </c>
      <c r="T4" s="97" t="str">
        <f t="shared" si="5"/>
        <v>C2</v>
      </c>
      <c r="U4" s="95"/>
      <c r="V4" s="96">
        <v>226</v>
      </c>
      <c r="W4" s="97" t="str">
        <f t="shared" si="6"/>
        <v>E2</v>
      </c>
      <c r="X4" s="95"/>
    </row>
    <row r="5" spans="1:24">
      <c r="A5" s="96">
        <v>3</v>
      </c>
      <c r="B5" s="97" t="str">
        <f t="shared" si="7"/>
        <v>3</v>
      </c>
      <c r="C5" s="98" t="s">
        <v>62</v>
      </c>
      <c r="D5" s="96">
        <v>35</v>
      </c>
      <c r="E5" s="97" t="str">
        <f t="shared" si="0"/>
        <v>23</v>
      </c>
      <c r="F5" s="101"/>
      <c r="G5" s="96">
        <v>67</v>
      </c>
      <c r="H5" s="97" t="str">
        <f t="shared" si="1"/>
        <v>43</v>
      </c>
      <c r="I5" s="102"/>
      <c r="J5" s="96">
        <v>99</v>
      </c>
      <c r="K5" s="97" t="str">
        <f t="shared" si="2"/>
        <v>63</v>
      </c>
      <c r="L5" s="102"/>
      <c r="M5" s="96">
        <v>131</v>
      </c>
      <c r="N5" s="97" t="str">
        <f t="shared" si="3"/>
        <v>83</v>
      </c>
      <c r="O5" s="95" t="s">
        <v>63</v>
      </c>
      <c r="P5" s="96">
        <v>163</v>
      </c>
      <c r="Q5" s="97" t="str">
        <f t="shared" si="4"/>
        <v>A3</v>
      </c>
      <c r="R5" s="95"/>
      <c r="S5" s="96">
        <v>195</v>
      </c>
      <c r="T5" s="97" t="str">
        <f t="shared" si="5"/>
        <v>C3</v>
      </c>
      <c r="U5" s="95"/>
      <c r="V5" s="96">
        <v>227</v>
      </c>
      <c r="W5" s="97" t="str">
        <f t="shared" si="6"/>
        <v>E3</v>
      </c>
      <c r="X5" s="95"/>
    </row>
    <row r="6" spans="1:24">
      <c r="A6" s="96">
        <v>4</v>
      </c>
      <c r="B6" s="97" t="str">
        <f t="shared" si="7"/>
        <v>4</v>
      </c>
      <c r="C6" s="98" t="s">
        <v>64</v>
      </c>
      <c r="D6" s="96">
        <v>36</v>
      </c>
      <c r="E6" s="97" t="str">
        <f t="shared" si="0"/>
        <v>24</v>
      </c>
      <c r="F6" s="101"/>
      <c r="G6" s="96">
        <v>68</v>
      </c>
      <c r="H6" s="97" t="str">
        <f t="shared" si="1"/>
        <v>44</v>
      </c>
      <c r="I6" s="102"/>
      <c r="J6" s="96">
        <v>100</v>
      </c>
      <c r="K6" s="97" t="str">
        <f t="shared" si="2"/>
        <v>64</v>
      </c>
      <c r="L6" s="102"/>
      <c r="M6" s="96">
        <v>132</v>
      </c>
      <c r="N6" s="97" t="str">
        <f t="shared" si="3"/>
        <v>84</v>
      </c>
      <c r="O6" s="95"/>
      <c r="P6" s="96">
        <v>164</v>
      </c>
      <c r="Q6" s="97" t="str">
        <f t="shared" si="4"/>
        <v>A4</v>
      </c>
      <c r="R6" s="95"/>
      <c r="S6" s="96">
        <v>196</v>
      </c>
      <c r="T6" s="97" t="str">
        <f t="shared" si="5"/>
        <v>C4</v>
      </c>
      <c r="U6" s="95"/>
      <c r="V6" s="96">
        <v>228</v>
      </c>
      <c r="W6" s="97" t="str">
        <f t="shared" si="6"/>
        <v>E4</v>
      </c>
      <c r="X6" s="95"/>
    </row>
    <row r="7" spans="1:24">
      <c r="A7" s="96">
        <v>5</v>
      </c>
      <c r="B7" s="97" t="str">
        <f t="shared" si="7"/>
        <v>5</v>
      </c>
      <c r="C7" s="98" t="s">
        <v>65</v>
      </c>
      <c r="D7" s="96">
        <v>37</v>
      </c>
      <c r="E7" s="97" t="str">
        <f t="shared" si="0"/>
        <v>25</v>
      </c>
      <c r="F7" s="101"/>
      <c r="G7" s="96">
        <v>69</v>
      </c>
      <c r="H7" s="97" t="str">
        <f t="shared" si="1"/>
        <v>45</v>
      </c>
      <c r="I7" s="102"/>
      <c r="J7" s="96">
        <v>101</v>
      </c>
      <c r="K7" s="97" t="str">
        <f t="shared" si="2"/>
        <v>65</v>
      </c>
      <c r="L7" s="102"/>
      <c r="M7" s="96">
        <v>133</v>
      </c>
      <c r="N7" s="97" t="str">
        <f t="shared" si="3"/>
        <v>85</v>
      </c>
      <c r="O7" s="95"/>
      <c r="P7" s="96">
        <v>165</v>
      </c>
      <c r="Q7" s="97" t="str">
        <f t="shared" si="4"/>
        <v>A5</v>
      </c>
      <c r="R7" s="95"/>
      <c r="S7" s="96">
        <v>197</v>
      </c>
      <c r="T7" s="97" t="str">
        <f t="shared" si="5"/>
        <v>C5</v>
      </c>
      <c r="U7" s="95"/>
      <c r="V7" s="96">
        <v>229</v>
      </c>
      <c r="W7" s="97" t="str">
        <f t="shared" si="6"/>
        <v>E5</v>
      </c>
      <c r="X7" s="95"/>
    </row>
    <row r="8" spans="1:24">
      <c r="A8" s="96">
        <v>6</v>
      </c>
      <c r="B8" s="97" t="str">
        <f t="shared" si="7"/>
        <v>6</v>
      </c>
      <c r="C8" s="98" t="s">
        <v>66</v>
      </c>
      <c r="D8" s="96">
        <v>38</v>
      </c>
      <c r="E8" s="97" t="str">
        <f t="shared" si="0"/>
        <v>26</v>
      </c>
      <c r="F8" s="101"/>
      <c r="G8" s="96">
        <v>70</v>
      </c>
      <c r="H8" s="97" t="str">
        <f t="shared" si="1"/>
        <v>46</v>
      </c>
      <c r="I8" s="102"/>
      <c r="J8" s="96">
        <v>102</v>
      </c>
      <c r="K8" s="97" t="str">
        <f t="shared" si="2"/>
        <v>66</v>
      </c>
      <c r="L8" s="102"/>
      <c r="M8" s="96">
        <v>134</v>
      </c>
      <c r="N8" s="97" t="str">
        <f t="shared" si="3"/>
        <v>86</v>
      </c>
      <c r="O8" s="95"/>
      <c r="P8" s="96">
        <v>166</v>
      </c>
      <c r="Q8" s="97" t="str">
        <f t="shared" si="4"/>
        <v>A6</v>
      </c>
      <c r="R8" s="95"/>
      <c r="S8" s="96">
        <v>198</v>
      </c>
      <c r="T8" s="97" t="str">
        <f t="shared" si="5"/>
        <v>C6</v>
      </c>
      <c r="U8" s="95"/>
      <c r="V8" s="96">
        <v>230</v>
      </c>
      <c r="W8" s="97" t="str">
        <f t="shared" si="6"/>
        <v>E6</v>
      </c>
      <c r="X8" s="95"/>
    </row>
    <row r="9" spans="1:24">
      <c r="A9" s="96">
        <v>7</v>
      </c>
      <c r="B9" s="97" t="str">
        <f t="shared" si="7"/>
        <v>7</v>
      </c>
      <c r="C9" s="98" t="s">
        <v>67</v>
      </c>
      <c r="D9" s="96">
        <v>39</v>
      </c>
      <c r="E9" s="97" t="str">
        <f t="shared" si="0"/>
        <v>27</v>
      </c>
      <c r="F9" s="101"/>
      <c r="G9" s="96">
        <v>71</v>
      </c>
      <c r="H9" s="97" t="str">
        <f t="shared" si="1"/>
        <v>47</v>
      </c>
      <c r="I9" s="102"/>
      <c r="J9" s="96">
        <v>103</v>
      </c>
      <c r="K9" s="97" t="str">
        <f t="shared" si="2"/>
        <v>67</v>
      </c>
      <c r="L9" s="102"/>
      <c r="M9" s="96">
        <v>135</v>
      </c>
      <c r="N9" s="97" t="str">
        <f t="shared" si="3"/>
        <v>87</v>
      </c>
      <c r="O9" s="95" t="s">
        <v>68</v>
      </c>
      <c r="P9" s="96">
        <v>167</v>
      </c>
      <c r="Q9" s="97" t="str">
        <f t="shared" si="4"/>
        <v>A7</v>
      </c>
      <c r="R9" s="95"/>
      <c r="S9" s="96">
        <v>199</v>
      </c>
      <c r="T9" s="97" t="str">
        <f t="shared" si="5"/>
        <v>C7</v>
      </c>
      <c r="U9" s="95"/>
      <c r="V9" s="96">
        <v>231</v>
      </c>
      <c r="W9" s="97" t="str">
        <f t="shared" si="6"/>
        <v>E7</v>
      </c>
      <c r="X9" s="95"/>
    </row>
    <row r="10" spans="1:24">
      <c r="A10" s="96">
        <v>8</v>
      </c>
      <c r="B10" s="97" t="str">
        <f t="shared" si="7"/>
        <v>8</v>
      </c>
      <c r="C10" s="99" t="s">
        <v>54</v>
      </c>
      <c r="D10" s="96">
        <v>40</v>
      </c>
      <c r="E10" s="97" t="str">
        <f t="shared" si="0"/>
        <v>28</v>
      </c>
      <c r="F10" s="101"/>
      <c r="G10" s="96">
        <v>72</v>
      </c>
      <c r="H10" s="97" t="str">
        <f t="shared" si="1"/>
        <v>48</v>
      </c>
      <c r="I10" s="102"/>
      <c r="J10" s="96">
        <v>104</v>
      </c>
      <c r="K10" s="97" t="str">
        <f t="shared" si="2"/>
        <v>68</v>
      </c>
      <c r="L10" s="102"/>
      <c r="M10" s="96">
        <v>136</v>
      </c>
      <c r="N10" s="97" t="str">
        <f t="shared" si="3"/>
        <v>88</v>
      </c>
      <c r="O10" s="103" t="s">
        <v>69</v>
      </c>
      <c r="P10" s="96">
        <v>168</v>
      </c>
      <c r="Q10" s="97" t="str">
        <f t="shared" si="4"/>
        <v>A8</v>
      </c>
      <c r="R10" s="103" t="s">
        <v>70</v>
      </c>
      <c r="S10" s="96">
        <v>200</v>
      </c>
      <c r="T10" s="97" t="str">
        <f t="shared" si="5"/>
        <v>C8</v>
      </c>
      <c r="U10" s="95"/>
      <c r="V10" s="96">
        <v>232</v>
      </c>
      <c r="W10" s="97" t="str">
        <f t="shared" si="6"/>
        <v>E8</v>
      </c>
      <c r="X10" s="95"/>
    </row>
    <row r="11" spans="1:24">
      <c r="A11" s="96">
        <v>9</v>
      </c>
      <c r="B11" s="97" t="str">
        <f t="shared" si="7"/>
        <v>9</v>
      </c>
      <c r="C11" s="99" t="s">
        <v>58</v>
      </c>
      <c r="D11" s="96">
        <v>41</v>
      </c>
      <c r="E11" s="97" t="str">
        <f t="shared" si="0"/>
        <v>29</v>
      </c>
      <c r="F11" s="101"/>
      <c r="G11" s="96">
        <v>73</v>
      </c>
      <c r="H11" s="97" t="str">
        <f t="shared" si="1"/>
        <v>49</v>
      </c>
      <c r="I11" s="102"/>
      <c r="J11" s="96">
        <v>105</v>
      </c>
      <c r="K11" s="97" t="str">
        <f t="shared" si="2"/>
        <v>69</v>
      </c>
      <c r="L11" s="102"/>
      <c r="M11" s="96">
        <v>137</v>
      </c>
      <c r="N11" s="97" t="str">
        <f t="shared" si="3"/>
        <v>89</v>
      </c>
      <c r="O11" s="95" t="s">
        <v>71</v>
      </c>
      <c r="P11" s="96">
        <v>169</v>
      </c>
      <c r="Q11" s="97" t="str">
        <f t="shared" si="4"/>
        <v>A9</v>
      </c>
      <c r="R11" s="95"/>
      <c r="S11" s="96">
        <v>201</v>
      </c>
      <c r="T11" s="97" t="str">
        <f t="shared" si="5"/>
        <v>C9</v>
      </c>
      <c r="U11" s="95"/>
      <c r="V11" s="96">
        <v>233</v>
      </c>
      <c r="W11" s="97" t="str">
        <f t="shared" si="6"/>
        <v>E9</v>
      </c>
      <c r="X11" s="95"/>
    </row>
    <row r="12" spans="1:24">
      <c r="A12" s="96">
        <v>10</v>
      </c>
      <c r="B12" s="97" t="str">
        <f t="shared" si="7"/>
        <v>A</v>
      </c>
      <c r="C12" s="99" t="s">
        <v>60</v>
      </c>
      <c r="D12" s="96">
        <v>42</v>
      </c>
      <c r="E12" s="97" t="str">
        <f t="shared" si="0"/>
        <v>2A</v>
      </c>
      <c r="F12" s="101"/>
      <c r="G12" s="96">
        <v>74</v>
      </c>
      <c r="H12" s="97" t="str">
        <f t="shared" si="1"/>
        <v>4A</v>
      </c>
      <c r="I12" s="102"/>
      <c r="J12" s="96">
        <v>106</v>
      </c>
      <c r="K12" s="97" t="str">
        <f t="shared" si="2"/>
        <v>6A</v>
      </c>
      <c r="L12" s="102"/>
      <c r="M12" s="96">
        <v>138</v>
      </c>
      <c r="N12" s="97" t="str">
        <f t="shared" si="3"/>
        <v>8A</v>
      </c>
      <c r="O12" s="95" t="s">
        <v>72</v>
      </c>
      <c r="P12" s="96">
        <v>170</v>
      </c>
      <c r="Q12" s="97" t="str">
        <f t="shared" si="4"/>
        <v>AA</v>
      </c>
      <c r="R12" s="95"/>
      <c r="S12" s="96">
        <v>202</v>
      </c>
      <c r="T12" s="97" t="str">
        <f t="shared" si="5"/>
        <v>CA</v>
      </c>
      <c r="U12" s="95"/>
      <c r="V12" s="96">
        <v>234</v>
      </c>
      <c r="W12" s="97" t="str">
        <f t="shared" si="6"/>
        <v>EA</v>
      </c>
      <c r="X12" s="95"/>
    </row>
    <row r="13" spans="1:24">
      <c r="A13" s="96">
        <v>11</v>
      </c>
      <c r="B13" s="97" t="str">
        <f t="shared" si="7"/>
        <v>B</v>
      </c>
      <c r="C13" s="99" t="s">
        <v>62</v>
      </c>
      <c r="D13" s="96">
        <v>43</v>
      </c>
      <c r="E13" s="97" t="str">
        <f t="shared" si="0"/>
        <v>2B</v>
      </c>
      <c r="F13" s="101"/>
      <c r="G13" s="96">
        <v>75</v>
      </c>
      <c r="H13" s="97" t="str">
        <f t="shared" si="1"/>
        <v>4B</v>
      </c>
      <c r="I13" s="102"/>
      <c r="J13" s="96">
        <v>107</v>
      </c>
      <c r="K13" s="97" t="str">
        <f t="shared" si="2"/>
        <v>6B</v>
      </c>
      <c r="L13" s="102"/>
      <c r="M13" s="96">
        <v>139</v>
      </c>
      <c r="N13" s="97" t="str">
        <f t="shared" si="3"/>
        <v>8B</v>
      </c>
      <c r="O13" s="95" t="s">
        <v>73</v>
      </c>
      <c r="P13" s="96">
        <v>171</v>
      </c>
      <c r="Q13" s="97" t="str">
        <f t="shared" si="4"/>
        <v>AB</v>
      </c>
      <c r="R13" s="95"/>
      <c r="S13" s="96">
        <v>203</v>
      </c>
      <c r="T13" s="97" t="str">
        <f t="shared" si="5"/>
        <v>CB</v>
      </c>
      <c r="U13" s="95"/>
      <c r="V13" s="96">
        <v>235</v>
      </c>
      <c r="W13" s="97" t="str">
        <f t="shared" si="6"/>
        <v>EB</v>
      </c>
      <c r="X13" s="95"/>
    </row>
    <row r="14" spans="1:24">
      <c r="A14" s="96">
        <v>12</v>
      </c>
      <c r="B14" s="97" t="str">
        <f t="shared" si="7"/>
        <v>C</v>
      </c>
      <c r="C14" s="99" t="s">
        <v>64</v>
      </c>
      <c r="D14" s="96">
        <v>44</v>
      </c>
      <c r="E14" s="97" t="str">
        <f t="shared" si="0"/>
        <v>2C</v>
      </c>
      <c r="F14" s="101"/>
      <c r="G14" s="96">
        <v>76</v>
      </c>
      <c r="H14" s="97" t="str">
        <f t="shared" si="1"/>
        <v>4C</v>
      </c>
      <c r="I14" s="102"/>
      <c r="J14" s="96">
        <v>108</v>
      </c>
      <c r="K14" s="97" t="str">
        <f t="shared" si="2"/>
        <v>6C</v>
      </c>
      <c r="L14" s="102"/>
      <c r="M14" s="96">
        <v>140</v>
      </c>
      <c r="N14" s="97" t="str">
        <f t="shared" si="3"/>
        <v>8C</v>
      </c>
      <c r="O14" s="95" t="s">
        <v>74</v>
      </c>
      <c r="P14" s="96">
        <v>172</v>
      </c>
      <c r="Q14" s="97" t="str">
        <f t="shared" si="4"/>
        <v>AC</v>
      </c>
      <c r="R14" s="95"/>
      <c r="S14" s="96">
        <v>204</v>
      </c>
      <c r="T14" s="97" t="str">
        <f t="shared" si="5"/>
        <v>CC</v>
      </c>
      <c r="U14" s="95"/>
      <c r="V14" s="96">
        <v>236</v>
      </c>
      <c r="W14" s="97" t="str">
        <f t="shared" si="6"/>
        <v>EC</v>
      </c>
      <c r="X14" s="95"/>
    </row>
    <row r="15" spans="1:24">
      <c r="A15" s="96">
        <v>13</v>
      </c>
      <c r="B15" s="97" t="str">
        <f t="shared" si="7"/>
        <v>D</v>
      </c>
      <c r="C15" s="99" t="s">
        <v>65</v>
      </c>
      <c r="D15" s="96">
        <v>45</v>
      </c>
      <c r="E15" s="97" t="str">
        <f t="shared" si="0"/>
        <v>2D</v>
      </c>
      <c r="F15" s="101"/>
      <c r="G15" s="96">
        <v>77</v>
      </c>
      <c r="H15" s="97" t="str">
        <f t="shared" si="1"/>
        <v>4D</v>
      </c>
      <c r="I15" s="102"/>
      <c r="J15" s="96">
        <v>109</v>
      </c>
      <c r="K15" s="97" t="str">
        <f t="shared" si="2"/>
        <v>6D</v>
      </c>
      <c r="L15" s="102"/>
      <c r="M15" s="96">
        <v>141</v>
      </c>
      <c r="N15" s="97" t="str">
        <f t="shared" si="3"/>
        <v>8D</v>
      </c>
      <c r="O15" s="95" t="s">
        <v>75</v>
      </c>
      <c r="P15" s="96">
        <v>173</v>
      </c>
      <c r="Q15" s="97" t="str">
        <f t="shared" si="4"/>
        <v>AD</v>
      </c>
      <c r="R15" s="95"/>
      <c r="S15" s="96">
        <v>205</v>
      </c>
      <c r="T15" s="97" t="str">
        <f t="shared" si="5"/>
        <v>CD</v>
      </c>
      <c r="U15" s="95"/>
      <c r="V15" s="96">
        <v>237</v>
      </c>
      <c r="W15" s="97" t="str">
        <f t="shared" si="6"/>
        <v>ED</v>
      </c>
      <c r="X15" s="95"/>
    </row>
    <row r="16" spans="1:24">
      <c r="A16" s="96">
        <v>14</v>
      </c>
      <c r="B16" s="97" t="str">
        <f t="shared" si="7"/>
        <v>E</v>
      </c>
      <c r="C16" s="99" t="s">
        <v>66</v>
      </c>
      <c r="D16" s="96">
        <v>46</v>
      </c>
      <c r="E16" s="97" t="str">
        <f t="shared" si="0"/>
        <v>2E</v>
      </c>
      <c r="F16" s="101"/>
      <c r="G16" s="96">
        <v>78</v>
      </c>
      <c r="H16" s="97" t="str">
        <f t="shared" si="1"/>
        <v>4E</v>
      </c>
      <c r="I16" s="102"/>
      <c r="J16" s="96">
        <v>110</v>
      </c>
      <c r="K16" s="97" t="str">
        <f t="shared" si="2"/>
        <v>6E</v>
      </c>
      <c r="L16" s="102"/>
      <c r="M16" s="96">
        <v>142</v>
      </c>
      <c r="N16" s="97" t="str">
        <f t="shared" si="3"/>
        <v>8E</v>
      </c>
      <c r="O16" s="95"/>
      <c r="P16" s="96">
        <v>174</v>
      </c>
      <c r="Q16" s="97" t="str">
        <f t="shared" si="4"/>
        <v>AE</v>
      </c>
      <c r="R16" s="95"/>
      <c r="S16" s="96">
        <v>206</v>
      </c>
      <c r="T16" s="97" t="str">
        <f t="shared" si="5"/>
        <v>CE</v>
      </c>
      <c r="U16" s="95"/>
      <c r="V16" s="96">
        <v>238</v>
      </c>
      <c r="W16" s="97" t="str">
        <f t="shared" si="6"/>
        <v>EE</v>
      </c>
      <c r="X16" s="95"/>
    </row>
    <row r="17" spans="1:24">
      <c r="A17" s="96">
        <v>15</v>
      </c>
      <c r="B17" s="97" t="str">
        <f t="shared" si="7"/>
        <v>F</v>
      </c>
      <c r="C17" s="99" t="s">
        <v>67</v>
      </c>
      <c r="D17" s="96">
        <v>47</v>
      </c>
      <c r="E17" s="97" t="str">
        <f t="shared" si="0"/>
        <v>2F</v>
      </c>
      <c r="F17" s="101"/>
      <c r="G17" s="96">
        <v>79</v>
      </c>
      <c r="H17" s="97" t="str">
        <f t="shared" si="1"/>
        <v>4F</v>
      </c>
      <c r="I17" s="102"/>
      <c r="J17" s="96">
        <v>111</v>
      </c>
      <c r="K17" s="97" t="str">
        <f t="shared" si="2"/>
        <v>6F</v>
      </c>
      <c r="L17" s="102"/>
      <c r="M17" s="96">
        <v>143</v>
      </c>
      <c r="N17" s="97" t="str">
        <f t="shared" si="3"/>
        <v>8F</v>
      </c>
      <c r="O17" s="95"/>
      <c r="P17" s="96">
        <v>175</v>
      </c>
      <c r="Q17" s="97" t="str">
        <f t="shared" si="4"/>
        <v>AF</v>
      </c>
      <c r="R17" s="95"/>
      <c r="S17" s="96">
        <v>207</v>
      </c>
      <c r="T17" s="97" t="str">
        <f t="shared" si="5"/>
        <v>CF</v>
      </c>
      <c r="U17" s="95"/>
      <c r="V17" s="96">
        <v>239</v>
      </c>
      <c r="W17" s="97" t="str">
        <f t="shared" si="6"/>
        <v>EF</v>
      </c>
      <c r="X17" s="95"/>
    </row>
    <row r="18" spans="1:24">
      <c r="A18" s="96">
        <v>16</v>
      </c>
      <c r="B18" s="97" t="str">
        <f t="shared" si="7"/>
        <v>10</v>
      </c>
      <c r="C18" s="98" t="s">
        <v>54</v>
      </c>
      <c r="D18" s="96">
        <v>48</v>
      </c>
      <c r="E18" s="97" t="str">
        <f t="shared" si="0"/>
        <v>30</v>
      </c>
      <c r="F18" s="102"/>
      <c r="G18" s="96">
        <v>80</v>
      </c>
      <c r="H18" s="97" t="str">
        <f t="shared" si="1"/>
        <v>50</v>
      </c>
      <c r="I18" s="102"/>
      <c r="J18" s="96">
        <v>112</v>
      </c>
      <c r="K18" s="97" t="str">
        <f t="shared" si="2"/>
        <v>70</v>
      </c>
      <c r="L18" s="102"/>
      <c r="M18" s="96">
        <v>144</v>
      </c>
      <c r="N18" s="97" t="str">
        <f t="shared" si="3"/>
        <v>90</v>
      </c>
      <c r="O18" s="103" t="s">
        <v>76</v>
      </c>
      <c r="P18" s="96">
        <v>176</v>
      </c>
      <c r="Q18" s="97" t="str">
        <f t="shared" si="4"/>
        <v>B0</v>
      </c>
      <c r="R18" s="103" t="s">
        <v>77</v>
      </c>
      <c r="S18" s="96">
        <v>208</v>
      </c>
      <c r="T18" s="97" t="str">
        <f t="shared" si="5"/>
        <v>D0</v>
      </c>
      <c r="U18" s="103" t="s">
        <v>78</v>
      </c>
      <c r="V18" s="96">
        <v>240</v>
      </c>
      <c r="W18" s="97" t="str">
        <f t="shared" si="6"/>
        <v>F0</v>
      </c>
      <c r="X18" s="103" t="s">
        <v>79</v>
      </c>
    </row>
    <row r="19" spans="1:24">
      <c r="A19" s="96">
        <v>17</v>
      </c>
      <c r="B19" s="97" t="str">
        <f t="shared" si="7"/>
        <v>11</v>
      </c>
      <c r="C19" s="98" t="s">
        <v>58</v>
      </c>
      <c r="D19" s="96">
        <v>49</v>
      </c>
      <c r="E19" s="97" t="str">
        <f t="shared" si="0"/>
        <v>31</v>
      </c>
      <c r="F19" s="102"/>
      <c r="G19" s="96">
        <v>81</v>
      </c>
      <c r="H19" s="97" t="str">
        <f t="shared" si="1"/>
        <v>51</v>
      </c>
      <c r="I19" s="102"/>
      <c r="J19" s="96">
        <v>113</v>
      </c>
      <c r="K19" s="97" t="str">
        <f t="shared" si="2"/>
        <v>71</v>
      </c>
      <c r="L19" s="102"/>
      <c r="M19" s="96">
        <v>145</v>
      </c>
      <c r="N19" s="97" t="str">
        <f t="shared" si="3"/>
        <v>91</v>
      </c>
      <c r="O19" s="95"/>
      <c r="P19" s="96">
        <v>177</v>
      </c>
      <c r="Q19" s="97" t="str">
        <f t="shared" si="4"/>
        <v>B1</v>
      </c>
      <c r="R19" s="95"/>
      <c r="S19" s="96">
        <v>209</v>
      </c>
      <c r="T19" s="97" t="str">
        <f t="shared" si="5"/>
        <v>D1</v>
      </c>
      <c r="U19" s="95"/>
      <c r="V19" s="96">
        <v>241</v>
      </c>
      <c r="W19" s="97" t="str">
        <f t="shared" si="6"/>
        <v>F1</v>
      </c>
      <c r="X19" s="95"/>
    </row>
    <row r="20" spans="1:24">
      <c r="A20" s="96">
        <v>18</v>
      </c>
      <c r="B20" s="97" t="str">
        <f t="shared" si="7"/>
        <v>12</v>
      </c>
      <c r="C20" s="98" t="s">
        <v>60</v>
      </c>
      <c r="D20" s="96">
        <v>50</v>
      </c>
      <c r="E20" s="97" t="str">
        <f t="shared" si="0"/>
        <v>32</v>
      </c>
      <c r="F20" s="102"/>
      <c r="G20" s="96">
        <v>82</v>
      </c>
      <c r="H20" s="97" t="str">
        <f t="shared" si="1"/>
        <v>52</v>
      </c>
      <c r="I20" s="102"/>
      <c r="J20" s="96">
        <v>114</v>
      </c>
      <c r="K20" s="97" t="str">
        <f t="shared" si="2"/>
        <v>72</v>
      </c>
      <c r="L20" s="102"/>
      <c r="M20" s="96">
        <v>146</v>
      </c>
      <c r="N20" s="97" t="str">
        <f t="shared" si="3"/>
        <v>92</v>
      </c>
      <c r="O20" s="95"/>
      <c r="P20" s="96">
        <v>178</v>
      </c>
      <c r="Q20" s="97" t="str">
        <f t="shared" si="4"/>
        <v>B2</v>
      </c>
      <c r="R20" s="95"/>
      <c r="S20" s="96">
        <v>210</v>
      </c>
      <c r="T20" s="97" t="str">
        <f t="shared" si="5"/>
        <v>D2</v>
      </c>
      <c r="U20" s="95"/>
      <c r="V20" s="96">
        <v>242</v>
      </c>
      <c r="W20" s="97" t="str">
        <f t="shared" si="6"/>
        <v>F2</v>
      </c>
      <c r="X20" s="95"/>
    </row>
    <row r="21" spans="1:24">
      <c r="A21" s="96">
        <v>19</v>
      </c>
      <c r="B21" s="97" t="str">
        <f t="shared" si="7"/>
        <v>13</v>
      </c>
      <c r="C21" s="98" t="s">
        <v>62</v>
      </c>
      <c r="D21" s="96">
        <v>51</v>
      </c>
      <c r="E21" s="97" t="str">
        <f t="shared" si="0"/>
        <v>33</v>
      </c>
      <c r="F21" s="102"/>
      <c r="G21" s="96">
        <v>83</v>
      </c>
      <c r="H21" s="97" t="str">
        <f t="shared" si="1"/>
        <v>53</v>
      </c>
      <c r="I21" s="102"/>
      <c r="J21" s="96">
        <v>115</v>
      </c>
      <c r="K21" s="97" t="str">
        <f t="shared" si="2"/>
        <v>73</v>
      </c>
      <c r="L21" s="102"/>
      <c r="M21" s="96">
        <v>147</v>
      </c>
      <c r="N21" s="97" t="str">
        <f t="shared" si="3"/>
        <v>93</v>
      </c>
      <c r="O21" s="95"/>
      <c r="P21" s="96">
        <v>179</v>
      </c>
      <c r="Q21" s="97" t="str">
        <f t="shared" si="4"/>
        <v>B3</v>
      </c>
      <c r="R21" s="95"/>
      <c r="S21" s="96">
        <v>211</v>
      </c>
      <c r="T21" s="97" t="str">
        <f t="shared" si="5"/>
        <v>D3</v>
      </c>
      <c r="U21" s="95"/>
      <c r="V21" s="96">
        <v>243</v>
      </c>
      <c r="W21" s="97" t="str">
        <f t="shared" si="6"/>
        <v>F3</v>
      </c>
      <c r="X21" s="95"/>
    </row>
    <row r="22" spans="1:24">
      <c r="A22" s="96">
        <v>20</v>
      </c>
      <c r="B22" s="97" t="str">
        <f t="shared" si="7"/>
        <v>14</v>
      </c>
      <c r="C22" s="98" t="s">
        <v>64</v>
      </c>
      <c r="D22" s="96">
        <v>52</v>
      </c>
      <c r="E22" s="97" t="str">
        <f t="shared" si="0"/>
        <v>34</v>
      </c>
      <c r="F22" s="102"/>
      <c r="G22" s="96">
        <v>84</v>
      </c>
      <c r="H22" s="97" t="str">
        <f t="shared" si="1"/>
        <v>54</v>
      </c>
      <c r="I22" s="102"/>
      <c r="J22" s="96">
        <v>116</v>
      </c>
      <c r="K22" s="97" t="str">
        <f t="shared" si="2"/>
        <v>74</v>
      </c>
      <c r="L22" s="102"/>
      <c r="M22" s="96">
        <v>148</v>
      </c>
      <c r="N22" s="97" t="str">
        <f t="shared" si="3"/>
        <v>94</v>
      </c>
      <c r="O22" s="95"/>
      <c r="P22" s="96">
        <v>180</v>
      </c>
      <c r="Q22" s="97" t="str">
        <f t="shared" si="4"/>
        <v>B4</v>
      </c>
      <c r="R22" s="95"/>
      <c r="S22" s="96">
        <v>212</v>
      </c>
      <c r="T22" s="97" t="str">
        <f t="shared" si="5"/>
        <v>D4</v>
      </c>
      <c r="U22" s="95"/>
      <c r="V22" s="96">
        <v>244</v>
      </c>
      <c r="W22" s="97" t="str">
        <f t="shared" si="6"/>
        <v>F4</v>
      </c>
      <c r="X22" s="95"/>
    </row>
    <row r="23" spans="1:24">
      <c r="A23" s="96">
        <v>21</v>
      </c>
      <c r="B23" s="97" t="str">
        <f t="shared" si="7"/>
        <v>15</v>
      </c>
      <c r="C23" s="98" t="s">
        <v>65</v>
      </c>
      <c r="D23" s="96">
        <v>53</v>
      </c>
      <c r="E23" s="97" t="str">
        <f t="shared" si="0"/>
        <v>35</v>
      </c>
      <c r="F23" s="102"/>
      <c r="G23" s="96">
        <v>85</v>
      </c>
      <c r="H23" s="97" t="str">
        <f t="shared" si="1"/>
        <v>55</v>
      </c>
      <c r="I23" s="102"/>
      <c r="J23" s="96">
        <v>117</v>
      </c>
      <c r="K23" s="97" t="str">
        <f t="shared" si="2"/>
        <v>75</v>
      </c>
      <c r="L23" s="102"/>
      <c r="M23" s="96">
        <v>149</v>
      </c>
      <c r="N23" s="97" t="str">
        <f t="shared" si="3"/>
        <v>95</v>
      </c>
      <c r="O23" s="95"/>
      <c r="P23" s="96">
        <v>181</v>
      </c>
      <c r="Q23" s="97" t="str">
        <f t="shared" si="4"/>
        <v>B5</v>
      </c>
      <c r="R23" s="95"/>
      <c r="S23" s="96">
        <v>213</v>
      </c>
      <c r="T23" s="97" t="str">
        <f t="shared" si="5"/>
        <v>D5</v>
      </c>
      <c r="U23" s="95"/>
      <c r="V23" s="96">
        <v>245</v>
      </c>
      <c r="W23" s="97" t="str">
        <f t="shared" si="6"/>
        <v>F5</v>
      </c>
      <c r="X23" s="95"/>
    </row>
    <row r="24" spans="1:24">
      <c r="A24" s="96">
        <v>22</v>
      </c>
      <c r="B24" s="97" t="str">
        <f t="shared" si="7"/>
        <v>16</v>
      </c>
      <c r="C24" s="98" t="s">
        <v>66</v>
      </c>
      <c r="D24" s="96">
        <v>54</v>
      </c>
      <c r="E24" s="97" t="str">
        <f t="shared" si="0"/>
        <v>36</v>
      </c>
      <c r="F24" s="102"/>
      <c r="G24" s="96">
        <v>86</v>
      </c>
      <c r="H24" s="97" t="str">
        <f t="shared" si="1"/>
        <v>56</v>
      </c>
      <c r="I24" s="102"/>
      <c r="J24" s="96">
        <v>118</v>
      </c>
      <c r="K24" s="97" t="str">
        <f t="shared" si="2"/>
        <v>76</v>
      </c>
      <c r="L24" s="102"/>
      <c r="M24" s="96">
        <v>150</v>
      </c>
      <c r="N24" s="97" t="str">
        <f t="shared" si="3"/>
        <v>96</v>
      </c>
      <c r="O24" s="95"/>
      <c r="P24" s="96">
        <v>182</v>
      </c>
      <c r="Q24" s="97" t="str">
        <f t="shared" si="4"/>
        <v>B6</v>
      </c>
      <c r="R24" s="95"/>
      <c r="S24" s="96">
        <v>214</v>
      </c>
      <c r="T24" s="97" t="str">
        <f t="shared" si="5"/>
        <v>D6</v>
      </c>
      <c r="U24" s="95"/>
      <c r="V24" s="96">
        <v>246</v>
      </c>
      <c r="W24" s="97" t="str">
        <f t="shared" si="6"/>
        <v>F6</v>
      </c>
      <c r="X24" s="95"/>
    </row>
    <row r="25" spans="1:24">
      <c r="A25" s="96">
        <v>23</v>
      </c>
      <c r="B25" s="97" t="str">
        <f t="shared" si="7"/>
        <v>17</v>
      </c>
      <c r="C25" s="98" t="s">
        <v>67</v>
      </c>
      <c r="D25" s="96">
        <v>55</v>
      </c>
      <c r="E25" s="97" t="str">
        <f t="shared" si="0"/>
        <v>37</v>
      </c>
      <c r="F25" s="102"/>
      <c r="G25" s="96">
        <v>87</v>
      </c>
      <c r="H25" s="97" t="str">
        <f t="shared" si="1"/>
        <v>57</v>
      </c>
      <c r="I25" s="102"/>
      <c r="J25" s="96">
        <v>119</v>
      </c>
      <c r="K25" s="97" t="str">
        <f t="shared" si="2"/>
        <v>77</v>
      </c>
      <c r="L25" s="102"/>
      <c r="M25" s="96">
        <v>151</v>
      </c>
      <c r="N25" s="97" t="str">
        <f t="shared" si="3"/>
        <v>97</v>
      </c>
      <c r="O25" s="95"/>
      <c r="P25" s="96">
        <v>183</v>
      </c>
      <c r="Q25" s="97" t="str">
        <f t="shared" si="4"/>
        <v>B7</v>
      </c>
      <c r="R25" s="95"/>
      <c r="S25" s="96">
        <v>215</v>
      </c>
      <c r="T25" s="97" t="str">
        <f t="shared" si="5"/>
        <v>D7</v>
      </c>
      <c r="U25" s="95"/>
      <c r="V25" s="96">
        <v>247</v>
      </c>
      <c r="W25" s="97" t="str">
        <f t="shared" si="6"/>
        <v>F7</v>
      </c>
      <c r="X25" s="95"/>
    </row>
    <row r="26" spans="1:24">
      <c r="A26" s="96">
        <v>24</v>
      </c>
      <c r="B26" s="97" t="str">
        <f t="shared" si="7"/>
        <v>18</v>
      </c>
      <c r="C26" s="99" t="s">
        <v>54</v>
      </c>
      <c r="D26" s="96">
        <v>56</v>
      </c>
      <c r="E26" s="97" t="str">
        <f t="shared" si="0"/>
        <v>38</v>
      </c>
      <c r="F26" s="102"/>
      <c r="G26" s="96">
        <v>88</v>
      </c>
      <c r="H26" s="97" t="str">
        <f t="shared" si="1"/>
        <v>58</v>
      </c>
      <c r="I26" s="102"/>
      <c r="J26" s="96">
        <v>120</v>
      </c>
      <c r="K26" s="97" t="str">
        <f t="shared" si="2"/>
        <v>78</v>
      </c>
      <c r="L26" s="102"/>
      <c r="M26" s="96">
        <v>152</v>
      </c>
      <c r="N26" s="97" t="str">
        <f t="shared" si="3"/>
        <v>98</v>
      </c>
      <c r="O26" s="103" t="s">
        <v>80</v>
      </c>
      <c r="P26" s="96">
        <v>184</v>
      </c>
      <c r="Q26" s="97" t="str">
        <f t="shared" si="4"/>
        <v>B8</v>
      </c>
      <c r="R26" s="103" t="s">
        <v>81</v>
      </c>
      <c r="S26" s="96">
        <v>216</v>
      </c>
      <c r="T26" s="97" t="str">
        <f t="shared" si="5"/>
        <v>D8</v>
      </c>
      <c r="U26" s="95"/>
      <c r="V26" s="96">
        <v>248</v>
      </c>
      <c r="W26" s="97" t="str">
        <f t="shared" si="6"/>
        <v>F8</v>
      </c>
      <c r="X26" s="95"/>
    </row>
    <row r="27" spans="1:27">
      <c r="A27" s="96">
        <v>25</v>
      </c>
      <c r="B27" s="97" t="str">
        <f t="shared" si="7"/>
        <v>19</v>
      </c>
      <c r="C27" s="99" t="s">
        <v>58</v>
      </c>
      <c r="D27" s="96">
        <v>57</v>
      </c>
      <c r="E27" s="97" t="str">
        <f t="shared" si="0"/>
        <v>39</v>
      </c>
      <c r="F27" s="102"/>
      <c r="G27" s="96">
        <v>89</v>
      </c>
      <c r="H27" s="97" t="str">
        <f t="shared" si="1"/>
        <v>59</v>
      </c>
      <c r="I27" s="102"/>
      <c r="J27" s="96">
        <v>121</v>
      </c>
      <c r="K27" s="97" t="str">
        <f t="shared" si="2"/>
        <v>79</v>
      </c>
      <c r="L27" s="102"/>
      <c r="M27" s="96">
        <v>153</v>
      </c>
      <c r="N27" s="97" t="str">
        <f t="shared" si="3"/>
        <v>99</v>
      </c>
      <c r="O27" s="95" t="s">
        <v>82</v>
      </c>
      <c r="P27" s="96">
        <v>185</v>
      </c>
      <c r="Q27" s="97" t="str">
        <f t="shared" si="4"/>
        <v>B9</v>
      </c>
      <c r="R27" s="95"/>
      <c r="S27" s="96">
        <v>217</v>
      </c>
      <c r="T27" s="97" t="str">
        <f t="shared" si="5"/>
        <v>D9</v>
      </c>
      <c r="U27" s="95"/>
      <c r="V27" s="96">
        <v>249</v>
      </c>
      <c r="W27" s="97" t="str">
        <f t="shared" si="6"/>
        <v>F9</v>
      </c>
      <c r="X27" s="95"/>
      <c r="AA27">
        <f>POWER(2,16)</f>
        <v>65536</v>
      </c>
    </row>
    <row r="28" spans="1:24">
      <c r="A28" s="96">
        <v>26</v>
      </c>
      <c r="B28" s="97" t="str">
        <f t="shared" si="7"/>
        <v>1A</v>
      </c>
      <c r="C28" s="99" t="s">
        <v>60</v>
      </c>
      <c r="D28" s="96">
        <v>58</v>
      </c>
      <c r="E28" s="97" t="str">
        <f t="shared" si="0"/>
        <v>3A</v>
      </c>
      <c r="F28" s="102"/>
      <c r="G28" s="96">
        <v>90</v>
      </c>
      <c r="H28" s="97" t="str">
        <f t="shared" si="1"/>
        <v>5A</v>
      </c>
      <c r="I28" s="102"/>
      <c r="J28" s="96">
        <v>122</v>
      </c>
      <c r="K28" s="97" t="str">
        <f t="shared" si="2"/>
        <v>7A</v>
      </c>
      <c r="L28" s="102"/>
      <c r="M28" s="96">
        <v>154</v>
      </c>
      <c r="N28" s="97" t="str">
        <f t="shared" si="3"/>
        <v>9A</v>
      </c>
      <c r="O28" s="95"/>
      <c r="P28" s="96">
        <v>186</v>
      </c>
      <c r="Q28" s="97" t="str">
        <f t="shared" si="4"/>
        <v>BA</v>
      </c>
      <c r="R28" s="95"/>
      <c r="S28" s="96">
        <v>218</v>
      </c>
      <c r="T28" s="97" t="str">
        <f t="shared" si="5"/>
        <v>DA</v>
      </c>
      <c r="U28" s="95"/>
      <c r="V28" s="96">
        <v>250</v>
      </c>
      <c r="W28" s="97" t="str">
        <f t="shared" si="6"/>
        <v>FA</v>
      </c>
      <c r="X28" s="95"/>
    </row>
    <row r="29" spans="1:24">
      <c r="A29" s="96">
        <v>27</v>
      </c>
      <c r="B29" s="97" t="str">
        <f t="shared" si="7"/>
        <v>1B</v>
      </c>
      <c r="C29" s="99" t="s">
        <v>62</v>
      </c>
      <c r="D29" s="96">
        <v>59</v>
      </c>
      <c r="E29" s="97" t="str">
        <f t="shared" si="0"/>
        <v>3B</v>
      </c>
      <c r="F29" s="102"/>
      <c r="G29" s="96">
        <v>91</v>
      </c>
      <c r="H29" s="97" t="str">
        <f t="shared" si="1"/>
        <v>5B</v>
      </c>
      <c r="I29" s="102"/>
      <c r="J29" s="96">
        <v>123</v>
      </c>
      <c r="K29" s="97" t="str">
        <f t="shared" si="2"/>
        <v>7B</v>
      </c>
      <c r="L29" s="102"/>
      <c r="M29" s="96">
        <v>155</v>
      </c>
      <c r="N29" s="97" t="str">
        <f t="shared" si="3"/>
        <v>9B</v>
      </c>
      <c r="O29" s="95"/>
      <c r="P29" s="96">
        <v>187</v>
      </c>
      <c r="Q29" s="97" t="str">
        <f t="shared" si="4"/>
        <v>BB</v>
      </c>
      <c r="R29" s="95"/>
      <c r="S29" s="96">
        <v>219</v>
      </c>
      <c r="T29" s="97" t="str">
        <f t="shared" si="5"/>
        <v>DB</v>
      </c>
      <c r="U29" s="95"/>
      <c r="V29" s="96">
        <v>251</v>
      </c>
      <c r="W29" s="97" t="str">
        <f t="shared" si="6"/>
        <v>FB</v>
      </c>
      <c r="X29" s="95"/>
    </row>
    <row r="30" spans="1:24">
      <c r="A30" s="96">
        <v>28</v>
      </c>
      <c r="B30" s="97" t="str">
        <f t="shared" si="7"/>
        <v>1C</v>
      </c>
      <c r="C30" s="99" t="s">
        <v>64</v>
      </c>
      <c r="D30" s="96">
        <v>60</v>
      </c>
      <c r="E30" s="97" t="str">
        <f t="shared" si="0"/>
        <v>3C</v>
      </c>
      <c r="F30" s="102"/>
      <c r="G30" s="96">
        <v>92</v>
      </c>
      <c r="H30" s="97" t="str">
        <f t="shared" si="1"/>
        <v>5C</v>
      </c>
      <c r="I30" s="102"/>
      <c r="J30" s="96">
        <v>124</v>
      </c>
      <c r="K30" s="97" t="str">
        <f t="shared" si="2"/>
        <v>7C</v>
      </c>
      <c r="L30" s="102"/>
      <c r="M30" s="96">
        <v>156</v>
      </c>
      <c r="N30" s="97" t="str">
        <f t="shared" si="3"/>
        <v>9C</v>
      </c>
      <c r="O30" s="95"/>
      <c r="P30" s="96">
        <v>188</v>
      </c>
      <c r="Q30" s="97" t="str">
        <f t="shared" si="4"/>
        <v>BC</v>
      </c>
      <c r="R30" s="95"/>
      <c r="S30" s="96">
        <v>220</v>
      </c>
      <c r="T30" s="97" t="str">
        <f t="shared" si="5"/>
        <v>DC</v>
      </c>
      <c r="U30" s="95"/>
      <c r="V30" s="96">
        <v>252</v>
      </c>
      <c r="W30" s="97" t="str">
        <f t="shared" si="6"/>
        <v>FC</v>
      </c>
      <c r="X30" s="95"/>
    </row>
    <row r="31" spans="1:24">
      <c r="A31" s="96">
        <v>29</v>
      </c>
      <c r="B31" s="97" t="str">
        <f t="shared" si="7"/>
        <v>1D</v>
      </c>
      <c r="C31" s="99" t="s">
        <v>65</v>
      </c>
      <c r="D31" s="96">
        <v>61</v>
      </c>
      <c r="E31" s="97" t="str">
        <f t="shared" si="0"/>
        <v>3D</v>
      </c>
      <c r="F31" s="102"/>
      <c r="G31" s="96">
        <v>93</v>
      </c>
      <c r="H31" s="97" t="str">
        <f t="shared" si="1"/>
        <v>5D</v>
      </c>
      <c r="I31" s="102"/>
      <c r="J31" s="96">
        <v>125</v>
      </c>
      <c r="K31" s="97" t="str">
        <f t="shared" si="2"/>
        <v>7D</v>
      </c>
      <c r="L31" s="102"/>
      <c r="M31" s="96">
        <v>157</v>
      </c>
      <c r="N31" s="97" t="str">
        <f t="shared" si="3"/>
        <v>9D</v>
      </c>
      <c r="O31" s="95"/>
      <c r="P31" s="96">
        <v>189</v>
      </c>
      <c r="Q31" s="97" t="str">
        <f t="shared" si="4"/>
        <v>BD</v>
      </c>
      <c r="R31" s="95"/>
      <c r="S31" s="96">
        <v>221</v>
      </c>
      <c r="T31" s="97" t="str">
        <f t="shared" si="5"/>
        <v>DD</v>
      </c>
      <c r="U31" s="95"/>
      <c r="V31" s="96">
        <v>253</v>
      </c>
      <c r="W31" s="97" t="str">
        <f t="shared" si="6"/>
        <v>FD</v>
      </c>
      <c r="X31" s="95"/>
    </row>
    <row r="32" spans="1:24">
      <c r="A32" s="96">
        <v>30</v>
      </c>
      <c r="B32" s="97" t="str">
        <f t="shared" si="7"/>
        <v>1E</v>
      </c>
      <c r="C32" s="99" t="s">
        <v>66</v>
      </c>
      <c r="D32" s="96">
        <v>62</v>
      </c>
      <c r="E32" s="97" t="str">
        <f t="shared" si="0"/>
        <v>3E</v>
      </c>
      <c r="F32" s="102"/>
      <c r="G32" s="96">
        <v>94</v>
      </c>
      <c r="H32" s="97" t="str">
        <f t="shared" si="1"/>
        <v>5E</v>
      </c>
      <c r="I32" s="102"/>
      <c r="J32" s="96">
        <v>126</v>
      </c>
      <c r="K32" s="97" t="str">
        <f t="shared" si="2"/>
        <v>7E</v>
      </c>
      <c r="L32" s="102"/>
      <c r="M32" s="96">
        <v>158</v>
      </c>
      <c r="N32" s="97" t="str">
        <f t="shared" si="3"/>
        <v>9E</v>
      </c>
      <c r="O32" s="95"/>
      <c r="P32" s="96">
        <v>190</v>
      </c>
      <c r="Q32" s="97" t="str">
        <f t="shared" si="4"/>
        <v>BE</v>
      </c>
      <c r="R32" s="95"/>
      <c r="S32" s="96">
        <v>222</v>
      </c>
      <c r="T32" s="97" t="str">
        <f t="shared" si="5"/>
        <v>DE</v>
      </c>
      <c r="U32" s="95"/>
      <c r="V32" s="96">
        <v>254</v>
      </c>
      <c r="W32" s="97" t="str">
        <f t="shared" si="6"/>
        <v>FE</v>
      </c>
      <c r="X32" s="95"/>
    </row>
    <row r="33" spans="1:24">
      <c r="A33" s="96">
        <v>31</v>
      </c>
      <c r="B33" s="97" t="str">
        <f t="shared" si="7"/>
        <v>1F</v>
      </c>
      <c r="C33" s="99" t="s">
        <v>67</v>
      </c>
      <c r="D33" s="96">
        <v>63</v>
      </c>
      <c r="E33" s="97" t="str">
        <f t="shared" si="0"/>
        <v>3F</v>
      </c>
      <c r="F33" s="102"/>
      <c r="G33" s="96">
        <v>95</v>
      </c>
      <c r="H33" s="97" t="str">
        <f t="shared" si="1"/>
        <v>5F</v>
      </c>
      <c r="I33" s="102"/>
      <c r="J33" s="96">
        <v>127</v>
      </c>
      <c r="K33" s="97" t="str">
        <f t="shared" si="2"/>
        <v>7F</v>
      </c>
      <c r="L33" s="102"/>
      <c r="M33" s="96">
        <v>159</v>
      </c>
      <c r="N33" s="97" t="str">
        <f t="shared" si="3"/>
        <v>9F</v>
      </c>
      <c r="O33" s="95"/>
      <c r="P33" s="96">
        <v>191</v>
      </c>
      <c r="Q33" s="97" t="str">
        <f t="shared" si="4"/>
        <v>BF</v>
      </c>
      <c r="R33" s="95"/>
      <c r="S33" s="96">
        <v>223</v>
      </c>
      <c r="T33" s="97" t="str">
        <f t="shared" si="5"/>
        <v>DF</v>
      </c>
      <c r="U33" s="95"/>
      <c r="V33" s="96">
        <v>255</v>
      </c>
      <c r="W33" s="97" t="str">
        <f t="shared" si="6"/>
        <v>FF</v>
      </c>
      <c r="X33" s="95"/>
    </row>
    <row r="35" spans="1:1">
      <c r="A35" s="100" t="s">
        <v>83</v>
      </c>
    </row>
    <row r="36" spans="1:1">
      <c r="A36" s="100" t="s">
        <v>84</v>
      </c>
    </row>
    <row r="37" spans="1:1">
      <c r="A37" s="100" t="s">
        <v>85</v>
      </c>
    </row>
    <row r="38" spans="1:1">
      <c r="A38" s="100" t="s">
        <v>86</v>
      </c>
    </row>
    <row r="39" spans="1:1">
      <c r="A39" s="100" t="s">
        <v>87</v>
      </c>
    </row>
    <row r="40" spans="1:1">
      <c r="A40" s="100" t="s">
        <v>86</v>
      </c>
    </row>
    <row r="41" spans="1:1">
      <c r="A41" s="100" t="s">
        <v>88</v>
      </c>
    </row>
    <row r="42" spans="1:1">
      <c r="A42" s="100" t="s">
        <v>86</v>
      </c>
    </row>
    <row r="43" spans="1:1">
      <c r="A43" s="100" t="s">
        <v>89</v>
      </c>
    </row>
    <row r="44" spans="1:1">
      <c r="A44" s="100" t="s">
        <v>86</v>
      </c>
    </row>
    <row r="45" spans="1:1">
      <c r="A45" s="100" t="s">
        <v>90</v>
      </c>
    </row>
    <row r="46" spans="1:1">
      <c r="A46" s="100" t="s">
        <v>86</v>
      </c>
    </row>
    <row r="47" spans="1:1">
      <c r="A47" s="100" t="s">
        <v>91</v>
      </c>
    </row>
    <row r="48" spans="1:1">
      <c r="A48" s="100" t="s">
        <v>86</v>
      </c>
    </row>
    <row r="49" spans="1:1">
      <c r="A49" s="100" t="s">
        <v>92</v>
      </c>
    </row>
    <row r="50" spans="1:21">
      <c r="A50" s="100" t="s">
        <v>86</v>
      </c>
      <c r="P50">
        <v>12</v>
      </c>
      <c r="R50" s="94" t="str">
        <f>DEC2BIN(P50)</f>
        <v>1100</v>
      </c>
      <c r="U50" s="94" t="str">
        <f>DEC2HEX(P50)</f>
        <v>C</v>
      </c>
    </row>
    <row r="51" spans="1:1">
      <c r="A51" s="100" t="s">
        <v>93</v>
      </c>
    </row>
    <row r="52" spans="1:1">
      <c r="A52" s="100" t="s">
        <v>94</v>
      </c>
    </row>
  </sheetData>
  <mergeCells count="1">
    <mergeCell ref="A1:X1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4"/>
  <sheetViews>
    <sheetView topLeftCell="A98" workbookViewId="0">
      <selection activeCell="D88" sqref="D88"/>
    </sheetView>
  </sheetViews>
  <sheetFormatPr defaultColWidth="9.23076923076923" defaultRowHeight="16.8"/>
  <cols>
    <col min="1" max="1" width="15.3846153846154" customWidth="1"/>
    <col min="2" max="2" width="9.93269230769231" style="1" customWidth="1"/>
    <col min="3" max="3" width="19.8653846153846" customWidth="1"/>
    <col min="4" max="4" width="25.6346153846154" customWidth="1"/>
    <col min="5" max="5" width="9.23076923076923" style="1"/>
    <col min="6" max="8" width="11.2115384615385" style="1" customWidth="1"/>
    <col min="13" max="13" width="24.8269230769231" customWidth="1"/>
    <col min="14" max="14" width="12.5" customWidth="1"/>
  </cols>
  <sheetData>
    <row r="1" ht="20" customHeight="1" spans="1:13">
      <c r="A1" s="1" t="s">
        <v>95</v>
      </c>
      <c r="C1" s="1"/>
      <c r="D1" s="1"/>
      <c r="E1" s="1"/>
      <c r="F1" s="1"/>
      <c r="G1" s="1"/>
      <c r="J1" s="1" t="s">
        <v>96</v>
      </c>
      <c r="K1" s="1"/>
      <c r="L1" s="1"/>
      <c r="M1" s="1"/>
    </row>
    <row r="2" ht="20" customHeight="1" spans="1:13">
      <c r="A2" s="82"/>
      <c r="B2" s="57" t="s">
        <v>97</v>
      </c>
      <c r="C2" s="57" t="s">
        <v>98</v>
      </c>
      <c r="D2" s="57" t="s">
        <v>99</v>
      </c>
      <c r="E2" s="57" t="s">
        <v>100</v>
      </c>
      <c r="F2" s="57" t="s">
        <v>101</v>
      </c>
      <c r="G2" s="57" t="s">
        <v>102</v>
      </c>
      <c r="H2" s="87"/>
      <c r="J2" s="90" t="s">
        <v>102</v>
      </c>
      <c r="K2" s="90" t="s">
        <v>103</v>
      </c>
      <c r="L2" s="90" t="s">
        <v>104</v>
      </c>
      <c r="M2" s="90" t="s">
        <v>99</v>
      </c>
    </row>
    <row r="3" ht="20" customHeight="1" spans="1:13">
      <c r="A3" s="83" t="s">
        <v>105</v>
      </c>
      <c r="B3" s="2" t="s">
        <v>106</v>
      </c>
      <c r="C3" s="84" t="s">
        <v>107</v>
      </c>
      <c r="D3" s="58" t="s">
        <v>108</v>
      </c>
      <c r="E3" s="5">
        <v>1</v>
      </c>
      <c r="F3" s="5">
        <v>1</v>
      </c>
      <c r="G3" s="5" t="s">
        <v>109</v>
      </c>
      <c r="H3" s="88">
        <v>8</v>
      </c>
      <c r="J3" s="78" t="s">
        <v>110</v>
      </c>
      <c r="K3" s="78" t="s">
        <v>111</v>
      </c>
      <c r="L3" s="78" t="s">
        <v>112</v>
      </c>
      <c r="M3" s="78" t="s">
        <v>113</v>
      </c>
    </row>
    <row r="4" ht="20" customHeight="1" spans="1:13">
      <c r="A4" s="83"/>
      <c r="B4" s="2" t="s">
        <v>114</v>
      </c>
      <c r="C4" s="84" t="s">
        <v>115</v>
      </c>
      <c r="D4" s="58" t="s">
        <v>116</v>
      </c>
      <c r="E4" s="5">
        <v>2</v>
      </c>
      <c r="F4" s="5">
        <v>1</v>
      </c>
      <c r="G4" s="5" t="s">
        <v>109</v>
      </c>
      <c r="H4" s="88">
        <v>1</v>
      </c>
      <c r="J4" s="78" t="s">
        <v>117</v>
      </c>
      <c r="K4" s="78" t="s">
        <v>118</v>
      </c>
      <c r="L4" s="78" t="s">
        <v>119</v>
      </c>
      <c r="M4" s="78" t="s">
        <v>120</v>
      </c>
    </row>
    <row r="5" ht="20" customHeight="1" spans="1:13">
      <c r="A5" s="83"/>
      <c r="B5" s="2" t="s">
        <v>121</v>
      </c>
      <c r="C5" s="84" t="s">
        <v>122</v>
      </c>
      <c r="D5" s="58" t="s">
        <v>123</v>
      </c>
      <c r="E5" s="5">
        <v>1</v>
      </c>
      <c r="F5" s="5">
        <v>1</v>
      </c>
      <c r="G5" s="5" t="s">
        <v>109</v>
      </c>
      <c r="H5" s="88">
        <v>2</v>
      </c>
      <c r="J5" s="78" t="s">
        <v>124</v>
      </c>
      <c r="K5" s="78" t="s">
        <v>125</v>
      </c>
      <c r="L5" s="78" t="s">
        <v>126</v>
      </c>
      <c r="M5" s="78" t="s">
        <v>127</v>
      </c>
    </row>
    <row r="6" ht="20" customHeight="1" spans="1:13">
      <c r="A6" s="83"/>
      <c r="B6" s="2" t="s">
        <v>128</v>
      </c>
      <c r="C6" s="84" t="s">
        <v>129</v>
      </c>
      <c r="D6" s="58" t="s">
        <v>130</v>
      </c>
      <c r="E6" s="5">
        <v>2</v>
      </c>
      <c r="F6" s="5">
        <v>1</v>
      </c>
      <c r="G6" s="5" t="s">
        <v>109</v>
      </c>
      <c r="H6" s="88">
        <v>1</v>
      </c>
      <c r="J6" s="78" t="s">
        <v>131</v>
      </c>
      <c r="K6" s="78" t="s">
        <v>132</v>
      </c>
      <c r="L6" s="78" t="s">
        <v>133</v>
      </c>
      <c r="M6" s="78" t="s">
        <v>134</v>
      </c>
    </row>
    <row r="7" ht="20" customHeight="1" spans="1:13">
      <c r="A7" s="83"/>
      <c r="B7" s="2" t="s">
        <v>135</v>
      </c>
      <c r="C7" s="84" t="s">
        <v>136</v>
      </c>
      <c r="D7" s="58" t="s">
        <v>137</v>
      </c>
      <c r="E7" s="5">
        <v>1</v>
      </c>
      <c r="F7" s="5">
        <v>1</v>
      </c>
      <c r="G7" s="5" t="s">
        <v>109</v>
      </c>
      <c r="H7" s="88">
        <v>8</v>
      </c>
      <c r="J7" s="78" t="s">
        <v>138</v>
      </c>
      <c r="K7" s="78" t="s">
        <v>139</v>
      </c>
      <c r="L7" s="78" t="s">
        <v>140</v>
      </c>
      <c r="M7" s="78" t="s">
        <v>141</v>
      </c>
    </row>
    <row r="8" ht="20" customHeight="1" spans="1:13">
      <c r="A8" s="83"/>
      <c r="B8" s="2" t="s">
        <v>142</v>
      </c>
      <c r="C8" s="84" t="s">
        <v>143</v>
      </c>
      <c r="D8" s="58" t="s">
        <v>144</v>
      </c>
      <c r="E8" s="5">
        <v>2</v>
      </c>
      <c r="F8" s="5">
        <v>2</v>
      </c>
      <c r="G8" s="5" t="s">
        <v>109</v>
      </c>
      <c r="H8" s="88">
        <v>8</v>
      </c>
      <c r="J8" s="78" t="s">
        <v>145</v>
      </c>
      <c r="K8" s="78" t="s">
        <v>146</v>
      </c>
      <c r="L8" s="78" t="s">
        <v>147</v>
      </c>
      <c r="M8" s="78" t="s">
        <v>148</v>
      </c>
    </row>
    <row r="9" ht="20" customHeight="1" spans="1:13">
      <c r="A9" s="83"/>
      <c r="B9" s="2" t="s">
        <v>149</v>
      </c>
      <c r="C9" s="84" t="s">
        <v>150</v>
      </c>
      <c r="D9" s="58" t="s">
        <v>151</v>
      </c>
      <c r="E9" s="5">
        <v>2</v>
      </c>
      <c r="F9" s="5">
        <v>1</v>
      </c>
      <c r="G9" s="5" t="s">
        <v>109</v>
      </c>
      <c r="H9" s="88">
        <v>8</v>
      </c>
      <c r="J9" s="78" t="s">
        <v>152</v>
      </c>
      <c r="K9" s="78" t="s">
        <v>153</v>
      </c>
      <c r="L9" s="78" t="s">
        <v>154</v>
      </c>
      <c r="M9" s="78" t="s">
        <v>155</v>
      </c>
    </row>
    <row r="10" ht="20" customHeight="1" spans="1:8">
      <c r="A10" s="83" t="s">
        <v>156</v>
      </c>
      <c r="B10" s="2" t="s">
        <v>157</v>
      </c>
      <c r="C10" s="84" t="s">
        <v>158</v>
      </c>
      <c r="D10" s="58" t="s">
        <v>159</v>
      </c>
      <c r="E10" s="5">
        <v>2</v>
      </c>
      <c r="F10" s="5">
        <v>1</v>
      </c>
      <c r="G10" s="14"/>
      <c r="H10" s="1">
        <v>1</v>
      </c>
    </row>
    <row r="11" ht="20" customHeight="1" spans="1:8">
      <c r="A11" s="83"/>
      <c r="B11" s="2" t="s">
        <v>160</v>
      </c>
      <c r="C11" s="84" t="s">
        <v>161</v>
      </c>
      <c r="D11" s="58" t="s">
        <v>162</v>
      </c>
      <c r="E11" s="5">
        <v>2</v>
      </c>
      <c r="F11" s="5">
        <v>2</v>
      </c>
      <c r="G11" s="14"/>
      <c r="H11" s="1">
        <v>8</v>
      </c>
    </row>
    <row r="12" ht="20" customHeight="1" spans="1:8">
      <c r="A12" s="83"/>
      <c r="B12" s="2" t="s">
        <v>163</v>
      </c>
      <c r="C12" s="84" t="s">
        <v>164</v>
      </c>
      <c r="D12" s="58" t="s">
        <v>165</v>
      </c>
      <c r="E12" s="5">
        <v>3</v>
      </c>
      <c r="F12" s="5">
        <v>2</v>
      </c>
      <c r="G12" s="14"/>
      <c r="H12" s="1">
        <v>1</v>
      </c>
    </row>
    <row r="13" ht="20" customHeight="1" spans="1:8">
      <c r="A13" s="83"/>
      <c r="B13" s="2" t="s">
        <v>166</v>
      </c>
      <c r="C13" s="84" t="s">
        <v>167</v>
      </c>
      <c r="D13" s="58" t="s">
        <v>168</v>
      </c>
      <c r="E13" s="5">
        <v>2</v>
      </c>
      <c r="F13" s="5">
        <v>2</v>
      </c>
      <c r="G13" s="14"/>
      <c r="H13" s="1">
        <v>2</v>
      </c>
    </row>
    <row r="14" ht="20" customHeight="1" spans="1:8">
      <c r="A14" s="83"/>
      <c r="B14" s="2" t="s">
        <v>169</v>
      </c>
      <c r="C14" s="84" t="s">
        <v>170</v>
      </c>
      <c r="D14" s="58" t="s">
        <v>171</v>
      </c>
      <c r="E14" s="5">
        <v>3</v>
      </c>
      <c r="F14" s="5">
        <v>2</v>
      </c>
      <c r="G14" s="14"/>
      <c r="H14" s="1">
        <v>1</v>
      </c>
    </row>
    <row r="15" ht="20" customHeight="1" spans="1:8">
      <c r="A15" s="83"/>
      <c r="B15" s="2" t="s">
        <v>172</v>
      </c>
      <c r="C15" s="84" t="s">
        <v>173</v>
      </c>
      <c r="D15" s="58" t="s">
        <v>174</v>
      </c>
      <c r="E15" s="5">
        <v>1</v>
      </c>
      <c r="F15" s="5">
        <v>1</v>
      </c>
      <c r="G15" s="14"/>
      <c r="H15" s="1">
        <v>2</v>
      </c>
    </row>
    <row r="16" ht="20" customHeight="1" spans="1:8">
      <c r="A16" s="83"/>
      <c r="B16" s="2" t="s">
        <v>175</v>
      </c>
      <c r="C16" s="84" t="s">
        <v>176</v>
      </c>
      <c r="D16" s="58" t="s">
        <v>177</v>
      </c>
      <c r="E16" s="5">
        <v>2</v>
      </c>
      <c r="F16" s="5">
        <v>2</v>
      </c>
      <c r="G16" s="14"/>
      <c r="H16" s="1">
        <v>2</v>
      </c>
    </row>
    <row r="17" ht="20" customHeight="1" spans="1:8">
      <c r="A17" s="83"/>
      <c r="B17" s="2" t="s">
        <v>178</v>
      </c>
      <c r="C17" s="84" t="s">
        <v>179</v>
      </c>
      <c r="D17" s="58" t="s">
        <v>180</v>
      </c>
      <c r="E17" s="5">
        <v>2</v>
      </c>
      <c r="F17" s="5">
        <v>1</v>
      </c>
      <c r="G17" s="14"/>
      <c r="H17" s="1">
        <v>2</v>
      </c>
    </row>
    <row r="18" ht="20" customHeight="1" spans="1:8">
      <c r="A18" s="85" t="s">
        <v>181</v>
      </c>
      <c r="B18" s="2" t="s">
        <v>182</v>
      </c>
      <c r="C18" s="84" t="s">
        <v>183</v>
      </c>
      <c r="D18" s="58" t="s">
        <v>184</v>
      </c>
      <c r="E18" s="5">
        <v>3</v>
      </c>
      <c r="F18" s="5">
        <v>2</v>
      </c>
      <c r="G18" s="5" t="s">
        <v>109</v>
      </c>
      <c r="H18" s="88">
        <v>1</v>
      </c>
    </row>
    <row r="19" ht="20" customHeight="1" spans="1:8">
      <c r="A19" s="83" t="s">
        <v>185</v>
      </c>
      <c r="B19" s="2">
        <v>83</v>
      </c>
      <c r="C19" s="84" t="s">
        <v>186</v>
      </c>
      <c r="D19" s="58" t="s">
        <v>187</v>
      </c>
      <c r="E19" s="5">
        <v>1</v>
      </c>
      <c r="F19" s="5">
        <v>2</v>
      </c>
      <c r="G19" s="14"/>
      <c r="H19" s="1">
        <v>1</v>
      </c>
    </row>
    <row r="20" ht="20" customHeight="1" spans="1:8">
      <c r="A20" s="83"/>
      <c r="B20" s="2">
        <v>93</v>
      </c>
      <c r="C20" s="84" t="s">
        <v>188</v>
      </c>
      <c r="D20" s="58" t="s">
        <v>189</v>
      </c>
      <c r="E20" s="5">
        <v>1</v>
      </c>
      <c r="F20" s="5">
        <v>2</v>
      </c>
      <c r="G20" s="14"/>
      <c r="H20" s="1">
        <v>1</v>
      </c>
    </row>
    <row r="21" ht="20" customHeight="1" spans="1:8">
      <c r="A21" s="14" t="s">
        <v>190</v>
      </c>
      <c r="B21" s="2" t="s">
        <v>191</v>
      </c>
      <c r="C21" s="84" t="s">
        <v>192</v>
      </c>
      <c r="D21" s="58" t="s">
        <v>193</v>
      </c>
      <c r="E21" s="5">
        <v>1</v>
      </c>
      <c r="F21" s="5">
        <v>2</v>
      </c>
      <c r="G21" s="14"/>
      <c r="H21" s="1">
        <v>2</v>
      </c>
    </row>
    <row r="22" ht="20" customHeight="1" spans="1:8">
      <c r="A22" s="14"/>
      <c r="B22" s="2" t="s">
        <v>194</v>
      </c>
      <c r="C22" s="84" t="s">
        <v>195</v>
      </c>
      <c r="D22" s="58" t="s">
        <v>196</v>
      </c>
      <c r="E22" s="5">
        <v>1</v>
      </c>
      <c r="F22" s="5">
        <v>2</v>
      </c>
      <c r="G22" s="14"/>
      <c r="H22" s="1">
        <v>2</v>
      </c>
    </row>
    <row r="23" ht="20" customHeight="1" spans="1:8">
      <c r="A23" s="14"/>
      <c r="B23" s="2" t="s">
        <v>197</v>
      </c>
      <c r="C23" s="84" t="s">
        <v>198</v>
      </c>
      <c r="D23" s="58" t="s">
        <v>199</v>
      </c>
      <c r="E23" s="5">
        <v>1</v>
      </c>
      <c r="F23" s="5">
        <v>2</v>
      </c>
      <c r="G23" s="14"/>
      <c r="H23" s="1">
        <v>1</v>
      </c>
    </row>
    <row r="24" ht="20" customHeight="1" spans="1:8">
      <c r="A24" s="14"/>
      <c r="B24" s="2" t="s">
        <v>200</v>
      </c>
      <c r="C24" s="84" t="s">
        <v>201</v>
      </c>
      <c r="D24" s="58" t="s">
        <v>202</v>
      </c>
      <c r="E24" s="5">
        <v>1</v>
      </c>
      <c r="F24" s="5">
        <v>2</v>
      </c>
      <c r="G24" s="14"/>
      <c r="H24" s="1">
        <v>1</v>
      </c>
    </row>
    <row r="25" ht="20" customHeight="1" spans="1:8">
      <c r="A25" s="14" t="s">
        <v>203</v>
      </c>
      <c r="B25" s="2" t="s">
        <v>204</v>
      </c>
      <c r="C25" s="84" t="s">
        <v>205</v>
      </c>
      <c r="D25" s="58" t="s">
        <v>206</v>
      </c>
      <c r="E25" s="5">
        <v>2</v>
      </c>
      <c r="F25" s="5">
        <v>2</v>
      </c>
      <c r="G25" s="14"/>
      <c r="H25" s="1">
        <v>1</v>
      </c>
    </row>
    <row r="26" ht="20" customHeight="1" spans="1:8">
      <c r="A26" s="14"/>
      <c r="B26" s="2" t="s">
        <v>207</v>
      </c>
      <c r="C26" s="84" t="s">
        <v>208</v>
      </c>
      <c r="D26" s="58" t="s">
        <v>209</v>
      </c>
      <c r="E26" s="5">
        <v>2</v>
      </c>
      <c r="F26" s="5">
        <v>2</v>
      </c>
      <c r="G26" s="14"/>
      <c r="H26" s="1">
        <v>1</v>
      </c>
    </row>
    <row r="27" ht="20" customHeight="1" spans="1:8">
      <c r="A27" s="14" t="s">
        <v>210</v>
      </c>
      <c r="B27" s="2" t="s">
        <v>211</v>
      </c>
      <c r="C27" s="84" t="s">
        <v>212</v>
      </c>
      <c r="D27" s="58" t="s">
        <v>213</v>
      </c>
      <c r="E27" s="5">
        <v>1</v>
      </c>
      <c r="F27" s="5">
        <v>1</v>
      </c>
      <c r="G27" s="5" t="s">
        <v>109</v>
      </c>
      <c r="H27" s="88">
        <v>2</v>
      </c>
    </row>
    <row r="28" ht="20" customHeight="1" spans="1:8">
      <c r="A28" s="14"/>
      <c r="B28" s="2" t="s">
        <v>214</v>
      </c>
      <c r="C28" s="84" t="s">
        <v>215</v>
      </c>
      <c r="D28" s="58" t="s">
        <v>216</v>
      </c>
      <c r="E28" s="5">
        <v>1</v>
      </c>
      <c r="F28" s="5">
        <v>1</v>
      </c>
      <c r="G28" s="5" t="s">
        <v>109</v>
      </c>
      <c r="H28" s="88">
        <v>8</v>
      </c>
    </row>
    <row r="29" ht="20" customHeight="1" spans="1:8">
      <c r="A29" s="14"/>
      <c r="B29" s="2" t="s">
        <v>217</v>
      </c>
      <c r="C29" s="84" t="s">
        <v>218</v>
      </c>
      <c r="D29" s="58" t="s">
        <v>219</v>
      </c>
      <c r="E29" s="5">
        <v>2</v>
      </c>
      <c r="F29" s="5">
        <v>1</v>
      </c>
      <c r="G29" s="5" t="s">
        <v>109</v>
      </c>
      <c r="H29" s="88">
        <v>1</v>
      </c>
    </row>
    <row r="30" ht="20" customHeight="1" spans="1:8">
      <c r="A30" s="14"/>
      <c r="B30" s="2" t="s">
        <v>220</v>
      </c>
      <c r="C30" s="84" t="s">
        <v>221</v>
      </c>
      <c r="D30" s="58" t="s">
        <v>222</v>
      </c>
      <c r="E30" s="5">
        <v>1</v>
      </c>
      <c r="F30" s="5">
        <v>1</v>
      </c>
      <c r="G30" s="5" t="s">
        <v>109</v>
      </c>
      <c r="H30" s="88">
        <v>2</v>
      </c>
    </row>
    <row r="31" ht="20" customHeight="1" spans="1:8">
      <c r="A31" s="1" t="s">
        <v>223</v>
      </c>
      <c r="B31" s="86"/>
      <c r="C31" s="86"/>
      <c r="D31" s="86"/>
      <c r="E31" s="86"/>
      <c r="F31" s="86"/>
      <c r="G31" s="89"/>
      <c r="H31" s="86"/>
    </row>
    <row r="32" ht="20" customHeight="1" spans="1:8">
      <c r="A32" s="12"/>
      <c r="B32" s="57" t="s">
        <v>97</v>
      </c>
      <c r="C32" s="57" t="s">
        <v>98</v>
      </c>
      <c r="D32" s="57" t="s">
        <v>99</v>
      </c>
      <c r="E32" s="57" t="s">
        <v>100</v>
      </c>
      <c r="F32" s="57" t="s">
        <v>101</v>
      </c>
      <c r="G32" s="57" t="s">
        <v>224</v>
      </c>
      <c r="H32" s="87"/>
    </row>
    <row r="33" ht="20" customHeight="1" spans="1:8">
      <c r="A33" s="14" t="s">
        <v>225</v>
      </c>
      <c r="B33" s="2" t="s">
        <v>226</v>
      </c>
      <c r="C33" s="84" t="s">
        <v>227</v>
      </c>
      <c r="D33" s="58" t="s">
        <v>228</v>
      </c>
      <c r="E33" s="5">
        <v>1</v>
      </c>
      <c r="F33" s="5">
        <v>1</v>
      </c>
      <c r="G33" s="5" t="s">
        <v>229</v>
      </c>
      <c r="H33" s="88">
        <v>8</v>
      </c>
    </row>
    <row r="34" ht="20" customHeight="1" spans="1:8">
      <c r="A34" s="14"/>
      <c r="B34" s="2" t="s">
        <v>230</v>
      </c>
      <c r="C34" s="84" t="s">
        <v>231</v>
      </c>
      <c r="D34" s="58" t="s">
        <v>232</v>
      </c>
      <c r="E34" s="5">
        <v>2</v>
      </c>
      <c r="F34" s="5">
        <v>1</v>
      </c>
      <c r="G34" s="5" t="s">
        <v>229</v>
      </c>
      <c r="H34" s="88">
        <v>1</v>
      </c>
    </row>
    <row r="35" ht="20" customHeight="1" spans="1:8">
      <c r="A35" s="14"/>
      <c r="B35" s="2" t="s">
        <v>233</v>
      </c>
      <c r="C35" s="84" t="s">
        <v>234</v>
      </c>
      <c r="D35" s="58" t="s">
        <v>235</v>
      </c>
      <c r="E35" s="5">
        <v>1</v>
      </c>
      <c r="F35" s="5">
        <v>1</v>
      </c>
      <c r="G35" s="5" t="s">
        <v>229</v>
      </c>
      <c r="H35" s="88">
        <v>2</v>
      </c>
    </row>
    <row r="36" ht="20" customHeight="1" spans="1:8">
      <c r="A36" s="14"/>
      <c r="B36" s="2" t="s">
        <v>236</v>
      </c>
      <c r="C36" s="84" t="s">
        <v>237</v>
      </c>
      <c r="D36" s="58" t="s">
        <v>238</v>
      </c>
      <c r="E36" s="5">
        <v>2</v>
      </c>
      <c r="F36" s="5">
        <v>1</v>
      </c>
      <c r="G36" s="5" t="s">
        <v>229</v>
      </c>
      <c r="H36" s="88">
        <v>1</v>
      </c>
    </row>
    <row r="37" ht="20" customHeight="1" spans="1:8">
      <c r="A37" s="14"/>
      <c r="B37" s="2" t="s">
        <v>239</v>
      </c>
      <c r="C37" s="84" t="s">
        <v>240</v>
      </c>
      <c r="D37" s="58" t="s">
        <v>241</v>
      </c>
      <c r="E37" s="5">
        <v>1</v>
      </c>
      <c r="F37" s="5">
        <v>1</v>
      </c>
      <c r="G37" s="5" t="s">
        <v>229</v>
      </c>
      <c r="H37" s="88">
        <v>8</v>
      </c>
    </row>
    <row r="38" ht="20" customHeight="1" spans="1:8">
      <c r="A38" s="14"/>
      <c r="B38" s="2" t="s">
        <v>242</v>
      </c>
      <c r="C38" s="84" t="s">
        <v>243</v>
      </c>
      <c r="D38" s="58" t="s">
        <v>244</v>
      </c>
      <c r="E38" s="5">
        <v>2</v>
      </c>
      <c r="F38" s="5">
        <v>1</v>
      </c>
      <c r="G38" s="5" t="s">
        <v>229</v>
      </c>
      <c r="H38" s="88">
        <v>1</v>
      </c>
    </row>
    <row r="39" ht="20" customHeight="1" spans="1:8">
      <c r="A39" s="14"/>
      <c r="B39" s="2" t="s">
        <v>245</v>
      </c>
      <c r="C39" s="84" t="s">
        <v>246</v>
      </c>
      <c r="D39" s="58" t="s">
        <v>247</v>
      </c>
      <c r="E39" s="5">
        <v>1</v>
      </c>
      <c r="F39" s="5">
        <v>1</v>
      </c>
      <c r="G39" s="5" t="s">
        <v>229</v>
      </c>
      <c r="H39" s="88">
        <v>2</v>
      </c>
    </row>
    <row r="40" ht="20" customHeight="1" spans="1:8">
      <c r="A40" s="14"/>
      <c r="B40" s="2" t="s">
        <v>248</v>
      </c>
      <c r="C40" s="84" t="s">
        <v>249</v>
      </c>
      <c r="D40" s="58" t="s">
        <v>250</v>
      </c>
      <c r="E40" s="5">
        <v>2</v>
      </c>
      <c r="F40" s="5">
        <v>1</v>
      </c>
      <c r="G40" s="5" t="s">
        <v>229</v>
      </c>
      <c r="H40" s="88">
        <v>1</v>
      </c>
    </row>
    <row r="41" ht="20" customHeight="1" spans="1:8">
      <c r="A41" s="83" t="s">
        <v>251</v>
      </c>
      <c r="B41" s="2" t="s">
        <v>252</v>
      </c>
      <c r="C41" s="84" t="s">
        <v>253</v>
      </c>
      <c r="D41" s="58" t="s">
        <v>254</v>
      </c>
      <c r="E41" s="5">
        <v>1</v>
      </c>
      <c r="F41" s="5">
        <v>1</v>
      </c>
      <c r="G41" s="5" t="s">
        <v>229</v>
      </c>
      <c r="H41" s="88">
        <v>8</v>
      </c>
    </row>
    <row r="42" ht="20" customHeight="1" spans="1:8">
      <c r="A42" s="83"/>
      <c r="B42" s="2" t="s">
        <v>255</v>
      </c>
      <c r="C42" s="84" t="s">
        <v>256</v>
      </c>
      <c r="D42" s="58" t="s">
        <v>257</v>
      </c>
      <c r="E42" s="5">
        <v>2</v>
      </c>
      <c r="F42" s="5">
        <v>1</v>
      </c>
      <c r="G42" s="5" t="s">
        <v>229</v>
      </c>
      <c r="H42" s="88">
        <v>1</v>
      </c>
    </row>
    <row r="43" ht="20" customHeight="1" spans="1:8">
      <c r="A43" s="83"/>
      <c r="B43" s="2" t="s">
        <v>258</v>
      </c>
      <c r="C43" s="84" t="s">
        <v>259</v>
      </c>
      <c r="D43" s="58" t="s">
        <v>260</v>
      </c>
      <c r="E43" s="5">
        <v>1</v>
      </c>
      <c r="F43" s="5">
        <v>1</v>
      </c>
      <c r="G43" s="5" t="s">
        <v>229</v>
      </c>
      <c r="H43" s="88">
        <v>2</v>
      </c>
    </row>
    <row r="44" ht="20" customHeight="1" spans="1:8">
      <c r="A44" s="83"/>
      <c r="B44" s="2" t="s">
        <v>261</v>
      </c>
      <c r="C44" s="84" t="s">
        <v>262</v>
      </c>
      <c r="D44" s="58" t="s">
        <v>263</v>
      </c>
      <c r="E44" s="5">
        <v>2</v>
      </c>
      <c r="F44" s="5">
        <v>1</v>
      </c>
      <c r="G44" s="5" t="s">
        <v>229</v>
      </c>
      <c r="H44" s="88">
        <v>1</v>
      </c>
    </row>
    <row r="45" ht="20" customHeight="1" spans="1:8">
      <c r="A45" s="14" t="s">
        <v>264</v>
      </c>
      <c r="B45" s="2">
        <v>4</v>
      </c>
      <c r="C45" s="84" t="s">
        <v>265</v>
      </c>
      <c r="D45" s="58" t="s">
        <v>266</v>
      </c>
      <c r="E45" s="5">
        <v>1</v>
      </c>
      <c r="F45" s="5">
        <v>1</v>
      </c>
      <c r="G45" s="5" t="s">
        <v>109</v>
      </c>
      <c r="H45" s="88">
        <v>1</v>
      </c>
    </row>
    <row r="46" ht="20" customHeight="1" spans="1:8">
      <c r="A46" s="14"/>
      <c r="B46" s="2" t="s">
        <v>267</v>
      </c>
      <c r="C46" s="84" t="s">
        <v>268</v>
      </c>
      <c r="D46" s="58" t="s">
        <v>269</v>
      </c>
      <c r="E46" s="5">
        <v>1</v>
      </c>
      <c r="F46" s="5">
        <v>1</v>
      </c>
      <c r="G46" s="5" t="s">
        <v>109</v>
      </c>
      <c r="H46" s="88">
        <v>8</v>
      </c>
    </row>
    <row r="47" ht="20" customHeight="1" spans="1:8">
      <c r="A47" s="14"/>
      <c r="B47" s="2" t="s">
        <v>270</v>
      </c>
      <c r="C47" s="84" t="s">
        <v>271</v>
      </c>
      <c r="D47" s="58" t="s">
        <v>272</v>
      </c>
      <c r="E47" s="5">
        <v>2</v>
      </c>
      <c r="F47" s="5">
        <v>1</v>
      </c>
      <c r="G47" s="5" t="s">
        <v>109</v>
      </c>
      <c r="H47" s="88">
        <v>1</v>
      </c>
    </row>
    <row r="48" ht="20" customHeight="1" spans="1:8">
      <c r="A48" s="14"/>
      <c r="B48" s="2" t="s">
        <v>273</v>
      </c>
      <c r="C48" s="84" t="s">
        <v>274</v>
      </c>
      <c r="D48" s="58" t="s">
        <v>275</v>
      </c>
      <c r="E48" s="5">
        <v>1</v>
      </c>
      <c r="F48" s="5">
        <v>1</v>
      </c>
      <c r="G48" s="5" t="s">
        <v>109</v>
      </c>
      <c r="H48" s="88">
        <v>2</v>
      </c>
    </row>
    <row r="49" ht="20" customHeight="1" spans="1:8">
      <c r="A49" s="14"/>
      <c r="B49" s="2" t="s">
        <v>276</v>
      </c>
      <c r="C49" s="84" t="s">
        <v>277</v>
      </c>
      <c r="D49" s="58" t="s">
        <v>278</v>
      </c>
      <c r="E49" s="5">
        <v>1</v>
      </c>
      <c r="F49" s="5">
        <v>2</v>
      </c>
      <c r="G49" s="5" t="s">
        <v>109</v>
      </c>
      <c r="H49" s="88">
        <v>1</v>
      </c>
    </row>
    <row r="50" ht="20" customHeight="1" spans="1:8">
      <c r="A50" s="14"/>
      <c r="B50" s="2">
        <v>14</v>
      </c>
      <c r="C50" s="84" t="s">
        <v>279</v>
      </c>
      <c r="D50" s="58" t="s">
        <v>280</v>
      </c>
      <c r="E50" s="5">
        <v>1</v>
      </c>
      <c r="F50" s="5">
        <v>1</v>
      </c>
      <c r="G50" s="5" t="s">
        <v>109</v>
      </c>
      <c r="H50" s="88">
        <v>1</v>
      </c>
    </row>
    <row r="51" ht="20" customHeight="1" spans="1:8">
      <c r="A51" s="14"/>
      <c r="B51" s="2" t="s">
        <v>281</v>
      </c>
      <c r="C51" s="84" t="s">
        <v>282</v>
      </c>
      <c r="D51" s="58" t="s">
        <v>283</v>
      </c>
      <c r="E51" s="5">
        <v>1</v>
      </c>
      <c r="F51" s="5">
        <v>1</v>
      </c>
      <c r="G51" s="5" t="s">
        <v>109</v>
      </c>
      <c r="H51" s="88">
        <v>8</v>
      </c>
    </row>
    <row r="52" ht="20" customHeight="1" spans="1:8">
      <c r="A52" s="14"/>
      <c r="B52" s="2" t="s">
        <v>284</v>
      </c>
      <c r="C52" s="84" t="s">
        <v>285</v>
      </c>
      <c r="D52" s="58" t="s">
        <v>286</v>
      </c>
      <c r="E52" s="5">
        <v>2</v>
      </c>
      <c r="F52" s="5">
        <v>1</v>
      </c>
      <c r="G52" s="5" t="s">
        <v>109</v>
      </c>
      <c r="H52" s="88">
        <v>1</v>
      </c>
    </row>
    <row r="53" ht="20" customHeight="1" spans="1:8">
      <c r="A53" s="14"/>
      <c r="B53" s="2" t="s">
        <v>287</v>
      </c>
      <c r="C53" s="84" t="s">
        <v>288</v>
      </c>
      <c r="D53" s="58" t="s">
        <v>289</v>
      </c>
      <c r="E53" s="5">
        <v>1</v>
      </c>
      <c r="F53" s="5">
        <v>1</v>
      </c>
      <c r="G53" s="5" t="s">
        <v>109</v>
      </c>
      <c r="H53" s="88">
        <v>2</v>
      </c>
    </row>
    <row r="54" ht="20" customHeight="1" spans="1:8">
      <c r="A54" s="14" t="s">
        <v>290</v>
      </c>
      <c r="B54" s="2" t="s">
        <v>291</v>
      </c>
      <c r="C54" s="84" t="s">
        <v>292</v>
      </c>
      <c r="D54" s="58" t="s">
        <v>293</v>
      </c>
      <c r="E54" s="5">
        <v>1</v>
      </c>
      <c r="F54" s="5">
        <v>4</v>
      </c>
      <c r="G54" s="5" t="s">
        <v>294</v>
      </c>
      <c r="H54" s="88">
        <v>1</v>
      </c>
    </row>
    <row r="55" ht="20" customHeight="1" spans="1:8">
      <c r="A55" s="14"/>
      <c r="B55" s="2">
        <v>84</v>
      </c>
      <c r="C55" s="84" t="s">
        <v>295</v>
      </c>
      <c r="D55" s="58" t="s">
        <v>296</v>
      </c>
      <c r="E55" s="5">
        <v>1</v>
      </c>
      <c r="F55" s="5">
        <v>4</v>
      </c>
      <c r="G55" s="5" t="s">
        <v>294</v>
      </c>
      <c r="H55" s="88">
        <v>1</v>
      </c>
    </row>
    <row r="56" ht="20" customHeight="1" spans="1:8">
      <c r="A56" s="78" t="s">
        <v>297</v>
      </c>
      <c r="B56" s="2" t="s">
        <v>298</v>
      </c>
      <c r="C56" s="84" t="s">
        <v>299</v>
      </c>
      <c r="D56" s="58" t="s">
        <v>300</v>
      </c>
      <c r="E56" s="5">
        <v>1</v>
      </c>
      <c r="F56" s="5">
        <v>1</v>
      </c>
      <c r="G56" s="5" t="s">
        <v>301</v>
      </c>
      <c r="H56" s="88">
        <v>1</v>
      </c>
    </row>
    <row r="57" ht="20" customHeight="1" spans="1:4">
      <c r="A57" s="1" t="s">
        <v>302</v>
      </c>
      <c r="C57" s="1"/>
      <c r="D57" s="1"/>
    </row>
    <row r="58" ht="20" customHeight="1" spans="1:8">
      <c r="A58" s="78"/>
      <c r="B58" s="57" t="s">
        <v>97</v>
      </c>
      <c r="C58" s="57" t="s">
        <v>98</v>
      </c>
      <c r="D58" s="57" t="s">
        <v>99</v>
      </c>
      <c r="E58" s="57" t="s">
        <v>100</v>
      </c>
      <c r="F58" s="57" t="s">
        <v>101</v>
      </c>
      <c r="G58" s="57" t="s">
        <v>102</v>
      </c>
      <c r="H58" s="87"/>
    </row>
    <row r="59" ht="20" customHeight="1" spans="1:8">
      <c r="A59" s="14" t="s">
        <v>303</v>
      </c>
      <c r="B59" s="2" t="s">
        <v>304</v>
      </c>
      <c r="C59" s="84" t="s">
        <v>305</v>
      </c>
      <c r="D59" s="58" t="s">
        <v>306</v>
      </c>
      <c r="E59" s="5">
        <v>1</v>
      </c>
      <c r="F59" s="5">
        <v>1</v>
      </c>
      <c r="G59" s="5" t="s">
        <v>109</v>
      </c>
      <c r="H59" s="88">
        <v>8</v>
      </c>
    </row>
    <row r="60" ht="20" customHeight="1" spans="1:8">
      <c r="A60" s="14"/>
      <c r="B60" s="2" t="s">
        <v>307</v>
      </c>
      <c r="C60" s="84" t="s">
        <v>308</v>
      </c>
      <c r="D60" s="58" t="s">
        <v>309</v>
      </c>
      <c r="E60" s="5">
        <v>2</v>
      </c>
      <c r="F60" s="5">
        <v>1</v>
      </c>
      <c r="G60" s="5" t="s">
        <v>109</v>
      </c>
      <c r="H60" s="88">
        <v>1</v>
      </c>
    </row>
    <row r="61" ht="20" customHeight="1" spans="1:8">
      <c r="A61" s="14"/>
      <c r="B61" s="2" t="s">
        <v>310</v>
      </c>
      <c r="C61" s="84" t="s">
        <v>311</v>
      </c>
      <c r="D61" s="58" t="s">
        <v>312</v>
      </c>
      <c r="E61" s="5">
        <v>1</v>
      </c>
      <c r="F61" s="5">
        <v>1</v>
      </c>
      <c r="G61" s="5" t="s">
        <v>109</v>
      </c>
      <c r="H61" s="88">
        <v>2</v>
      </c>
    </row>
    <row r="62" ht="20" customHeight="1" spans="1:8">
      <c r="A62" s="14"/>
      <c r="B62" s="2" t="s">
        <v>313</v>
      </c>
      <c r="C62" s="84" t="s">
        <v>314</v>
      </c>
      <c r="D62" s="58" t="s">
        <v>315</v>
      </c>
      <c r="E62" s="5">
        <v>2</v>
      </c>
      <c r="F62" s="5">
        <v>1</v>
      </c>
      <c r="G62" s="5" t="s">
        <v>109</v>
      </c>
      <c r="H62" s="88">
        <v>1</v>
      </c>
    </row>
    <row r="63" ht="20" customHeight="1" spans="1:8">
      <c r="A63" s="14"/>
      <c r="B63" s="2" t="s">
        <v>316</v>
      </c>
      <c r="C63" s="84" t="s">
        <v>317</v>
      </c>
      <c r="D63" s="58" t="s">
        <v>318</v>
      </c>
      <c r="E63" s="5">
        <v>1</v>
      </c>
      <c r="F63" s="5">
        <v>1</v>
      </c>
      <c r="G63" s="5" t="s">
        <v>109</v>
      </c>
      <c r="H63" s="88">
        <v>8</v>
      </c>
    </row>
    <row r="64" ht="20" customHeight="1" spans="1:8">
      <c r="A64" s="14"/>
      <c r="B64" s="2" t="s">
        <v>319</v>
      </c>
      <c r="C64" s="84" t="s">
        <v>320</v>
      </c>
      <c r="D64" s="58" t="s">
        <v>321</v>
      </c>
      <c r="E64" s="5">
        <v>2</v>
      </c>
      <c r="F64" s="5">
        <v>1</v>
      </c>
      <c r="G64" s="5" t="s">
        <v>109</v>
      </c>
      <c r="H64" s="88">
        <v>1</v>
      </c>
    </row>
    <row r="65" ht="20" customHeight="1" spans="1:8">
      <c r="A65" s="14"/>
      <c r="B65" s="2" t="s">
        <v>322</v>
      </c>
      <c r="C65" s="84" t="s">
        <v>323</v>
      </c>
      <c r="D65" s="58" t="s">
        <v>324</v>
      </c>
      <c r="E65" s="5">
        <v>1</v>
      </c>
      <c r="F65" s="5">
        <v>1</v>
      </c>
      <c r="G65" s="5" t="s">
        <v>109</v>
      </c>
      <c r="H65" s="88">
        <v>2</v>
      </c>
    </row>
    <row r="66" ht="20" customHeight="1" spans="1:8">
      <c r="A66" s="14"/>
      <c r="B66" s="2" t="s">
        <v>325</v>
      </c>
      <c r="C66" s="84" t="s">
        <v>326</v>
      </c>
      <c r="D66" s="58" t="s">
        <v>327</v>
      </c>
      <c r="E66" s="5">
        <v>2</v>
      </c>
      <c r="F66" s="5">
        <v>1</v>
      </c>
      <c r="G66" s="5" t="s">
        <v>109</v>
      </c>
      <c r="H66" s="88">
        <v>1</v>
      </c>
    </row>
    <row r="67" ht="20" customHeight="1" spans="1:8">
      <c r="A67" s="14"/>
      <c r="B67" s="2" t="s">
        <v>328</v>
      </c>
      <c r="C67" s="84" t="s">
        <v>329</v>
      </c>
      <c r="D67" s="58" t="s">
        <v>330</v>
      </c>
      <c r="E67" s="5">
        <v>1</v>
      </c>
      <c r="F67" s="5">
        <v>1</v>
      </c>
      <c r="G67" s="5" t="s">
        <v>109</v>
      </c>
      <c r="H67" s="88">
        <v>8</v>
      </c>
    </row>
    <row r="68" ht="20" customHeight="1" spans="1:8">
      <c r="A68" s="14"/>
      <c r="B68" s="2" t="s">
        <v>331</v>
      </c>
      <c r="C68" s="84" t="s">
        <v>332</v>
      </c>
      <c r="D68" s="58" t="s">
        <v>333</v>
      </c>
      <c r="E68" s="5">
        <v>2</v>
      </c>
      <c r="F68" s="5">
        <v>1</v>
      </c>
      <c r="G68" s="5" t="s">
        <v>109</v>
      </c>
      <c r="H68" s="88">
        <v>1</v>
      </c>
    </row>
    <row r="69" ht="20" customHeight="1" spans="1:8">
      <c r="A69" s="14"/>
      <c r="B69" s="2" t="s">
        <v>334</v>
      </c>
      <c r="C69" s="84" t="s">
        <v>335</v>
      </c>
      <c r="D69" s="58" t="s">
        <v>336</v>
      </c>
      <c r="E69" s="5">
        <v>1</v>
      </c>
      <c r="F69" s="5">
        <v>1</v>
      </c>
      <c r="G69" s="5" t="s">
        <v>109</v>
      </c>
      <c r="H69" s="88">
        <v>2</v>
      </c>
    </row>
    <row r="70" ht="20" customHeight="1" spans="1:8">
      <c r="A70" s="14"/>
      <c r="B70" s="2" t="s">
        <v>337</v>
      </c>
      <c r="C70" s="84" t="s">
        <v>338</v>
      </c>
      <c r="D70" s="58" t="s">
        <v>339</v>
      </c>
      <c r="E70" s="5">
        <v>2</v>
      </c>
      <c r="F70" s="5">
        <v>1</v>
      </c>
      <c r="G70" s="5" t="s">
        <v>109</v>
      </c>
      <c r="H70" s="88">
        <v>1</v>
      </c>
    </row>
    <row r="71" ht="20" customHeight="1" spans="1:8">
      <c r="A71" s="14" t="s">
        <v>340</v>
      </c>
      <c r="B71" s="2" t="s">
        <v>341</v>
      </c>
      <c r="C71" s="84" t="s">
        <v>342</v>
      </c>
      <c r="D71" s="58" t="s">
        <v>343</v>
      </c>
      <c r="E71" s="5">
        <v>1</v>
      </c>
      <c r="F71" s="5">
        <v>1</v>
      </c>
      <c r="G71" s="5" t="s">
        <v>109</v>
      </c>
      <c r="H71" s="88">
        <v>1</v>
      </c>
    </row>
    <row r="72" ht="20" customHeight="1" spans="1:8">
      <c r="A72" s="14"/>
      <c r="B72" s="2" t="s">
        <v>344</v>
      </c>
      <c r="C72" s="84" t="s">
        <v>345</v>
      </c>
      <c r="D72" s="58" t="s">
        <v>346</v>
      </c>
      <c r="E72" s="5">
        <v>1</v>
      </c>
      <c r="F72" s="5">
        <v>1</v>
      </c>
      <c r="G72" s="5" t="s">
        <v>109</v>
      </c>
      <c r="H72" s="88">
        <v>1</v>
      </c>
    </row>
    <row r="73" ht="20" customHeight="1" spans="1:8">
      <c r="A73" s="14"/>
      <c r="B73" s="2">
        <v>23</v>
      </c>
      <c r="C73" s="84" t="s">
        <v>347</v>
      </c>
      <c r="D73" s="58" t="s">
        <v>348</v>
      </c>
      <c r="E73" s="5">
        <v>1</v>
      </c>
      <c r="F73" s="5">
        <v>1</v>
      </c>
      <c r="G73" s="5" t="s">
        <v>109</v>
      </c>
      <c r="H73" s="88">
        <v>1</v>
      </c>
    </row>
    <row r="74" ht="20" customHeight="1" spans="1:8">
      <c r="A74" s="14"/>
      <c r="B74" s="2">
        <v>33</v>
      </c>
      <c r="C74" s="84" t="s">
        <v>349</v>
      </c>
      <c r="D74" s="58" t="s">
        <v>350</v>
      </c>
      <c r="E74" s="5">
        <v>1</v>
      </c>
      <c r="F74" s="5">
        <v>1</v>
      </c>
      <c r="G74" s="5" t="s">
        <v>351</v>
      </c>
      <c r="H74" s="88">
        <v>1</v>
      </c>
    </row>
    <row r="75" ht="20" customHeight="1" spans="1:8">
      <c r="A75" s="14"/>
      <c r="B75" s="2">
        <v>3</v>
      </c>
      <c r="C75" s="84" t="s">
        <v>352</v>
      </c>
      <c r="D75" s="58" t="s">
        <v>353</v>
      </c>
      <c r="E75" s="5">
        <v>1</v>
      </c>
      <c r="F75" s="5">
        <v>1</v>
      </c>
      <c r="G75" s="5" t="s">
        <v>109</v>
      </c>
      <c r="H75" s="88">
        <v>1</v>
      </c>
    </row>
    <row r="76" ht="20" customHeight="1" spans="1:8">
      <c r="A76" s="14"/>
      <c r="B76" s="2">
        <v>13</v>
      </c>
      <c r="C76" s="84" t="s">
        <v>354</v>
      </c>
      <c r="D76" s="58" t="s">
        <v>355</v>
      </c>
      <c r="E76" s="5">
        <v>1</v>
      </c>
      <c r="F76" s="5">
        <v>1</v>
      </c>
      <c r="G76" s="5" t="s">
        <v>351</v>
      </c>
      <c r="H76" s="88">
        <v>1</v>
      </c>
    </row>
    <row r="77" ht="20" customHeight="1" spans="1:8">
      <c r="A77" s="14"/>
      <c r="B77" s="2" t="s">
        <v>356</v>
      </c>
      <c r="C77" s="84" t="s">
        <v>357</v>
      </c>
      <c r="D77" s="58" t="s">
        <v>358</v>
      </c>
      <c r="E77" s="5">
        <v>1</v>
      </c>
      <c r="F77" s="5">
        <v>1</v>
      </c>
      <c r="G77" s="5" t="s">
        <v>109</v>
      </c>
      <c r="H77" s="88">
        <v>1</v>
      </c>
    </row>
    <row r="78" ht="20" customHeight="1" spans="1:8">
      <c r="A78" s="83" t="s">
        <v>359</v>
      </c>
      <c r="B78" s="2" t="s">
        <v>360</v>
      </c>
      <c r="C78" s="84" t="s">
        <v>361</v>
      </c>
      <c r="D78" s="58" t="s">
        <v>362</v>
      </c>
      <c r="E78" s="5">
        <v>3</v>
      </c>
      <c r="F78" s="5">
        <v>2</v>
      </c>
      <c r="G78" s="14"/>
      <c r="H78" s="1">
        <v>1</v>
      </c>
    </row>
    <row r="79" ht="20" customHeight="1" spans="1:8">
      <c r="A79" s="83"/>
      <c r="B79" s="2" t="s">
        <v>363</v>
      </c>
      <c r="C79" s="84" t="s">
        <v>364</v>
      </c>
      <c r="D79" s="58" t="s">
        <v>365</v>
      </c>
      <c r="E79" s="5">
        <v>3</v>
      </c>
      <c r="F79" s="5">
        <v>2</v>
      </c>
      <c r="G79" s="14"/>
      <c r="H79" s="1">
        <v>1</v>
      </c>
    </row>
    <row r="80" ht="20" customHeight="1" spans="1:8">
      <c r="A80" s="83"/>
      <c r="B80" s="2" t="s">
        <v>366</v>
      </c>
      <c r="C80" s="84" t="s">
        <v>367</v>
      </c>
      <c r="D80" s="58" t="s">
        <v>368</v>
      </c>
      <c r="E80" s="5">
        <v>3</v>
      </c>
      <c r="F80" s="5">
        <v>2</v>
      </c>
      <c r="G80" s="14"/>
      <c r="H80" s="1">
        <v>1</v>
      </c>
    </row>
    <row r="81" ht="20" customHeight="1" spans="1:8">
      <c r="A81" s="83"/>
      <c r="B81" s="2" t="s">
        <v>369</v>
      </c>
      <c r="C81" s="84" t="s">
        <v>370</v>
      </c>
      <c r="D81" s="58" t="s">
        <v>371</v>
      </c>
      <c r="E81" s="5">
        <v>2</v>
      </c>
      <c r="F81" s="5">
        <v>1</v>
      </c>
      <c r="G81" s="14"/>
      <c r="H81" s="1">
        <v>1</v>
      </c>
    </row>
    <row r="82" ht="20" customHeight="1" spans="1:4">
      <c r="A82" s="1" t="s">
        <v>372</v>
      </c>
      <c r="C82" s="1"/>
      <c r="D82" s="1"/>
    </row>
    <row r="83" ht="20" customHeight="1" spans="1:8">
      <c r="A83" s="78"/>
      <c r="B83" s="57" t="s">
        <v>97</v>
      </c>
      <c r="C83" s="57" t="s">
        <v>98</v>
      </c>
      <c r="D83" s="57" t="s">
        <v>99</v>
      </c>
      <c r="E83" s="57" t="s">
        <v>100</v>
      </c>
      <c r="F83" s="57" t="s">
        <v>101</v>
      </c>
      <c r="G83" s="91"/>
      <c r="H83" s="92">
        <f>SUM(H84:H102)</f>
        <v>34</v>
      </c>
    </row>
    <row r="84" ht="20" customHeight="1" spans="1:8">
      <c r="A84" s="14" t="s">
        <v>373</v>
      </c>
      <c r="B84" s="2" t="s">
        <v>374</v>
      </c>
      <c r="C84" s="84" t="s">
        <v>375</v>
      </c>
      <c r="D84" s="58" t="s">
        <v>376</v>
      </c>
      <c r="E84" s="5">
        <v>3</v>
      </c>
      <c r="F84" s="5">
        <v>2</v>
      </c>
      <c r="G84" s="14"/>
      <c r="H84" s="1">
        <v>1</v>
      </c>
    </row>
    <row r="85" ht="20" customHeight="1" spans="1:8">
      <c r="A85" s="14"/>
      <c r="B85" s="2" t="s">
        <v>377</v>
      </c>
      <c r="C85" s="84" t="s">
        <v>378</v>
      </c>
      <c r="D85" s="58" t="s">
        <v>379</v>
      </c>
      <c r="E85" s="5">
        <v>2</v>
      </c>
      <c r="F85" s="5">
        <v>2</v>
      </c>
      <c r="G85" s="14"/>
      <c r="H85" s="1">
        <v>1</v>
      </c>
    </row>
    <row r="86" ht="20" customHeight="1" spans="1:8">
      <c r="A86" s="14"/>
      <c r="B86" s="2">
        <v>73</v>
      </c>
      <c r="C86" s="84" t="s">
        <v>380</v>
      </c>
      <c r="D86" s="58" t="s">
        <v>381</v>
      </c>
      <c r="E86" s="5">
        <v>1</v>
      </c>
      <c r="F86" s="5">
        <v>2</v>
      </c>
      <c r="G86" s="14"/>
      <c r="H86" s="1">
        <v>1</v>
      </c>
    </row>
    <row r="87" ht="20" customHeight="1" spans="1:8">
      <c r="A87" s="14"/>
      <c r="B87" s="2" t="s">
        <v>382</v>
      </c>
      <c r="C87" s="84" t="s">
        <v>383</v>
      </c>
      <c r="D87" s="58" t="s">
        <v>384</v>
      </c>
      <c r="E87" s="5">
        <v>3</v>
      </c>
      <c r="F87" s="5">
        <v>2</v>
      </c>
      <c r="G87" s="14"/>
      <c r="H87" s="1">
        <v>1</v>
      </c>
    </row>
    <row r="88" ht="20" customHeight="1" spans="1:8">
      <c r="A88" s="14"/>
      <c r="B88" s="2" t="s">
        <v>385</v>
      </c>
      <c r="C88" s="84" t="s">
        <v>386</v>
      </c>
      <c r="D88" s="58" t="s">
        <v>387</v>
      </c>
      <c r="E88" s="5">
        <v>2</v>
      </c>
      <c r="F88" s="5">
        <v>2</v>
      </c>
      <c r="G88" s="14"/>
      <c r="H88" s="1">
        <v>8</v>
      </c>
    </row>
    <row r="89" ht="20" customHeight="1" spans="1:8">
      <c r="A89" s="14" t="s">
        <v>388</v>
      </c>
      <c r="B89" s="2" t="s">
        <v>389</v>
      </c>
      <c r="C89" s="84" t="s">
        <v>390</v>
      </c>
      <c r="D89" s="58" t="s">
        <v>391</v>
      </c>
      <c r="E89" s="5">
        <v>2</v>
      </c>
      <c r="F89" s="5">
        <v>2</v>
      </c>
      <c r="G89" s="14"/>
      <c r="H89" s="1">
        <v>1</v>
      </c>
    </row>
    <row r="90" ht="20" customHeight="1" spans="1:8">
      <c r="A90" s="14"/>
      <c r="B90" s="2" t="s">
        <v>392</v>
      </c>
      <c r="C90" s="84" t="s">
        <v>393</v>
      </c>
      <c r="D90" s="58" t="s">
        <v>394</v>
      </c>
      <c r="E90" s="5">
        <v>2</v>
      </c>
      <c r="F90" s="5">
        <v>2</v>
      </c>
      <c r="G90" s="14"/>
      <c r="H90" s="1">
        <v>1</v>
      </c>
    </row>
    <row r="91" ht="20" customHeight="1" spans="1:8">
      <c r="A91" s="14"/>
      <c r="B91" s="2" t="s">
        <v>395</v>
      </c>
      <c r="C91" s="84" t="s">
        <v>396</v>
      </c>
      <c r="D91" s="58" t="s">
        <v>397</v>
      </c>
      <c r="E91" s="5">
        <v>2</v>
      </c>
      <c r="F91" s="5">
        <v>2</v>
      </c>
      <c r="G91" s="14"/>
      <c r="H91" s="1">
        <v>1</v>
      </c>
    </row>
    <row r="92" ht="20" customHeight="1" spans="1:8">
      <c r="A92" s="14"/>
      <c r="B92" s="2" t="s">
        <v>398</v>
      </c>
      <c r="C92" s="84" t="s">
        <v>399</v>
      </c>
      <c r="D92" s="58" t="s">
        <v>400</v>
      </c>
      <c r="E92" s="5">
        <v>2</v>
      </c>
      <c r="F92" s="5">
        <v>2</v>
      </c>
      <c r="G92" s="14"/>
      <c r="H92" s="1">
        <v>1</v>
      </c>
    </row>
    <row r="93" ht="20" customHeight="1" spans="1:8">
      <c r="A93" s="14"/>
      <c r="B93" s="2" t="s">
        <v>401</v>
      </c>
      <c r="C93" s="84" t="s">
        <v>402</v>
      </c>
      <c r="D93" s="58" t="s">
        <v>403</v>
      </c>
      <c r="E93" s="5">
        <v>3</v>
      </c>
      <c r="F93" s="5">
        <v>2</v>
      </c>
      <c r="G93" s="14"/>
      <c r="H93" s="1">
        <v>1</v>
      </c>
    </row>
    <row r="94" ht="20" customHeight="1" spans="1:8">
      <c r="A94" s="14"/>
      <c r="B94" s="2" t="s">
        <v>404</v>
      </c>
      <c r="C94" s="84" t="s">
        <v>405</v>
      </c>
      <c r="D94" s="58" t="s">
        <v>406</v>
      </c>
      <c r="E94" s="5">
        <v>3</v>
      </c>
      <c r="F94" s="5">
        <v>2</v>
      </c>
      <c r="G94" s="14"/>
      <c r="H94" s="1">
        <v>1</v>
      </c>
    </row>
    <row r="95" ht="20" customHeight="1" spans="1:8">
      <c r="A95" s="14"/>
      <c r="B95" s="2" t="s">
        <v>407</v>
      </c>
      <c r="C95" s="84" t="s">
        <v>408</v>
      </c>
      <c r="D95" s="58" t="s">
        <v>409</v>
      </c>
      <c r="E95" s="5">
        <v>3</v>
      </c>
      <c r="F95" s="5">
        <v>2</v>
      </c>
      <c r="G95" s="14"/>
      <c r="H95" s="1">
        <v>1</v>
      </c>
    </row>
    <row r="96" ht="20" customHeight="1" spans="1:8">
      <c r="A96" s="83" t="s">
        <v>410</v>
      </c>
      <c r="B96" s="2" t="s">
        <v>411</v>
      </c>
      <c r="C96" s="84" t="s">
        <v>412</v>
      </c>
      <c r="D96" s="58" t="s">
        <v>413</v>
      </c>
      <c r="E96" s="5">
        <v>3</v>
      </c>
      <c r="F96" s="5">
        <v>2</v>
      </c>
      <c r="G96" s="14"/>
      <c r="H96" s="1">
        <v>1</v>
      </c>
    </row>
    <row r="97" ht="20" customHeight="1" spans="1:8">
      <c r="A97" s="83"/>
      <c r="B97" s="2" t="s">
        <v>414</v>
      </c>
      <c r="C97" s="84" t="s">
        <v>415</v>
      </c>
      <c r="D97" s="58" t="s">
        <v>413</v>
      </c>
      <c r="E97" s="5">
        <v>3</v>
      </c>
      <c r="F97" s="5">
        <v>2</v>
      </c>
      <c r="G97" s="14"/>
      <c r="H97" s="1">
        <v>1</v>
      </c>
    </row>
    <row r="98" ht="20" customHeight="1" spans="1:8">
      <c r="A98" s="83"/>
      <c r="B98" s="2" t="s">
        <v>416</v>
      </c>
      <c r="C98" s="84" t="s">
        <v>417</v>
      </c>
      <c r="D98" s="58" t="s">
        <v>413</v>
      </c>
      <c r="E98" s="5">
        <v>3</v>
      </c>
      <c r="F98" s="5">
        <v>2</v>
      </c>
      <c r="G98" s="14"/>
      <c r="H98" s="1">
        <v>8</v>
      </c>
    </row>
    <row r="99" ht="20" customHeight="1" spans="1:8">
      <c r="A99" s="83"/>
      <c r="B99" s="2" t="s">
        <v>418</v>
      </c>
      <c r="C99" s="84" t="s">
        <v>419</v>
      </c>
      <c r="D99" s="58" t="s">
        <v>413</v>
      </c>
      <c r="E99" s="5">
        <v>3</v>
      </c>
      <c r="F99" s="5">
        <v>2</v>
      </c>
      <c r="G99" s="14"/>
      <c r="H99" s="1">
        <v>2</v>
      </c>
    </row>
    <row r="100" ht="20" customHeight="1" spans="1:8">
      <c r="A100" s="83" t="s">
        <v>420</v>
      </c>
      <c r="B100" s="2">
        <v>22</v>
      </c>
      <c r="C100" s="84" t="s">
        <v>421</v>
      </c>
      <c r="D100" s="58" t="s">
        <v>422</v>
      </c>
      <c r="E100" s="5">
        <v>1</v>
      </c>
      <c r="F100" s="5">
        <v>2</v>
      </c>
      <c r="G100" s="14"/>
      <c r="H100" s="1">
        <v>1</v>
      </c>
    </row>
    <row r="101" ht="20" customHeight="1" spans="1:8">
      <c r="A101" s="83"/>
      <c r="B101" s="2">
        <v>32</v>
      </c>
      <c r="C101" s="84" t="s">
        <v>423</v>
      </c>
      <c r="D101" s="58" t="s">
        <v>424</v>
      </c>
      <c r="E101" s="5">
        <v>1</v>
      </c>
      <c r="F101" s="5">
        <v>2</v>
      </c>
      <c r="G101" s="14"/>
      <c r="H101" s="1">
        <v>1</v>
      </c>
    </row>
    <row r="102" ht="20" customHeight="1" spans="1:8">
      <c r="A102" s="78" t="s">
        <v>425</v>
      </c>
      <c r="B102" s="2">
        <v>0</v>
      </c>
      <c r="C102" s="84" t="s">
        <v>426</v>
      </c>
      <c r="D102" s="58" t="s">
        <v>427</v>
      </c>
      <c r="E102" s="5">
        <v>1</v>
      </c>
      <c r="F102" s="5">
        <v>1</v>
      </c>
      <c r="G102" s="14"/>
      <c r="H102" s="1">
        <v>1</v>
      </c>
    </row>
    <row r="103" ht="20" customHeight="1" spans="1:4">
      <c r="A103" s="1" t="s">
        <v>428</v>
      </c>
      <c r="C103" s="1"/>
      <c r="D103" s="1"/>
    </row>
    <row r="104" ht="20" customHeight="1" spans="1:8">
      <c r="A104" s="78"/>
      <c r="B104" s="57" t="s">
        <v>97</v>
      </c>
      <c r="C104" s="57" t="s">
        <v>98</v>
      </c>
      <c r="D104" s="57" t="s">
        <v>99</v>
      </c>
      <c r="E104" s="57" t="s">
        <v>100</v>
      </c>
      <c r="F104" s="57" t="s">
        <v>101</v>
      </c>
      <c r="G104" s="91"/>
      <c r="H104" s="91">
        <f>SUM(H105:H114)</f>
        <v>10</v>
      </c>
    </row>
    <row r="105" ht="20" customHeight="1" spans="1:8">
      <c r="A105" s="14" t="s">
        <v>429</v>
      </c>
      <c r="B105" s="2" t="s">
        <v>430</v>
      </c>
      <c r="C105" s="84" t="s">
        <v>431</v>
      </c>
      <c r="D105" s="58" t="s">
        <v>432</v>
      </c>
      <c r="E105" s="5">
        <v>2</v>
      </c>
      <c r="F105" s="5">
        <v>1</v>
      </c>
      <c r="G105" s="14"/>
      <c r="H105" s="14">
        <v>1</v>
      </c>
    </row>
    <row r="106" ht="20" customHeight="1" spans="1:8">
      <c r="A106" s="14"/>
      <c r="B106" s="2" t="s">
        <v>433</v>
      </c>
      <c r="C106" s="84" t="s">
        <v>434</v>
      </c>
      <c r="D106" s="58" t="s">
        <v>435</v>
      </c>
      <c r="E106" s="5">
        <v>2</v>
      </c>
      <c r="F106" s="5">
        <v>2</v>
      </c>
      <c r="G106" s="14"/>
      <c r="H106" s="14">
        <v>1</v>
      </c>
    </row>
    <row r="107" ht="20" customHeight="1" spans="1:8">
      <c r="A107" s="14" t="s">
        <v>436</v>
      </c>
      <c r="B107" s="2" t="s">
        <v>437</v>
      </c>
      <c r="C107" s="84" t="s">
        <v>438</v>
      </c>
      <c r="D107" s="58" t="s">
        <v>439</v>
      </c>
      <c r="E107" s="5">
        <v>2</v>
      </c>
      <c r="F107" s="5">
        <v>2</v>
      </c>
      <c r="G107" s="14"/>
      <c r="H107" s="14">
        <v>1</v>
      </c>
    </row>
    <row r="108" ht="20" customHeight="1" spans="1:8">
      <c r="A108" s="14"/>
      <c r="B108" s="2" t="s">
        <v>440</v>
      </c>
      <c r="C108" s="84" t="s">
        <v>441</v>
      </c>
      <c r="D108" s="58" t="s">
        <v>442</v>
      </c>
      <c r="E108" s="5">
        <v>2</v>
      </c>
      <c r="F108" s="5">
        <v>2</v>
      </c>
      <c r="G108" s="14"/>
      <c r="H108" s="14">
        <v>1</v>
      </c>
    </row>
    <row r="109" ht="20" customHeight="1" spans="1:8">
      <c r="A109" s="14"/>
      <c r="B109" s="2" t="s">
        <v>443</v>
      </c>
      <c r="C109" s="84" t="s">
        <v>444</v>
      </c>
      <c r="D109" s="58" t="s">
        <v>445</v>
      </c>
      <c r="E109" s="5">
        <v>2</v>
      </c>
      <c r="F109" s="5">
        <v>2</v>
      </c>
      <c r="G109" s="14"/>
      <c r="H109" s="14">
        <v>1</v>
      </c>
    </row>
    <row r="110" ht="20" customHeight="1" spans="1:8">
      <c r="A110" s="14"/>
      <c r="B110" s="2" t="s">
        <v>446</v>
      </c>
      <c r="C110" s="84" t="s">
        <v>447</v>
      </c>
      <c r="D110" s="58" t="s">
        <v>448</v>
      </c>
      <c r="E110" s="5">
        <v>2</v>
      </c>
      <c r="F110" s="5">
        <v>2</v>
      </c>
      <c r="G110" s="14"/>
      <c r="H110" s="14">
        <v>1</v>
      </c>
    </row>
    <row r="111" ht="20" customHeight="1" spans="1:8">
      <c r="A111" s="14" t="s">
        <v>449</v>
      </c>
      <c r="B111" s="2" t="s">
        <v>450</v>
      </c>
      <c r="C111" s="84" t="s">
        <v>451</v>
      </c>
      <c r="D111" s="58" t="s">
        <v>452</v>
      </c>
      <c r="E111" s="5">
        <v>1</v>
      </c>
      <c r="F111" s="5">
        <v>1</v>
      </c>
      <c r="G111" s="14"/>
      <c r="H111" s="14">
        <v>1</v>
      </c>
    </row>
    <row r="112" ht="20" customHeight="1" spans="1:8">
      <c r="A112" s="14"/>
      <c r="B112" s="2" t="s">
        <v>453</v>
      </c>
      <c r="C112" s="84" t="s">
        <v>454</v>
      </c>
      <c r="D112" s="58" t="s">
        <v>455</v>
      </c>
      <c r="E112" s="5">
        <v>2</v>
      </c>
      <c r="F112" s="5">
        <v>1</v>
      </c>
      <c r="G112" s="14"/>
      <c r="H112" s="14">
        <v>1</v>
      </c>
    </row>
    <row r="113" ht="20" customHeight="1" spans="1:8">
      <c r="A113" s="14"/>
      <c r="B113" s="2" t="s">
        <v>456</v>
      </c>
      <c r="C113" s="84" t="s">
        <v>457</v>
      </c>
      <c r="D113" s="58" t="s">
        <v>458</v>
      </c>
      <c r="E113" s="5">
        <v>1</v>
      </c>
      <c r="F113" s="5">
        <v>1</v>
      </c>
      <c r="G113" s="14"/>
      <c r="H113" s="14">
        <v>1</v>
      </c>
    </row>
    <row r="114" ht="20" customHeight="1" spans="1:8">
      <c r="A114" s="14"/>
      <c r="B114" s="2" t="s">
        <v>459</v>
      </c>
      <c r="C114" s="84" t="s">
        <v>460</v>
      </c>
      <c r="D114" s="58" t="s">
        <v>461</v>
      </c>
      <c r="E114" s="5">
        <v>2</v>
      </c>
      <c r="F114" s="5">
        <v>1</v>
      </c>
      <c r="G114" s="14"/>
      <c r="H114" s="14">
        <v>1</v>
      </c>
    </row>
  </sheetData>
  <mergeCells count="27">
    <mergeCell ref="A1:G1"/>
    <mergeCell ref="J1:M1"/>
    <mergeCell ref="A31:G31"/>
    <mergeCell ref="A57:G57"/>
    <mergeCell ref="A82:G82"/>
    <mergeCell ref="A103:G103"/>
    <mergeCell ref="A3:A9"/>
    <mergeCell ref="A10:A14"/>
    <mergeCell ref="A15:A17"/>
    <mergeCell ref="A19:A20"/>
    <mergeCell ref="A21:A24"/>
    <mergeCell ref="A25:A26"/>
    <mergeCell ref="A27:A30"/>
    <mergeCell ref="A33:A40"/>
    <mergeCell ref="A41:A44"/>
    <mergeCell ref="A45:A53"/>
    <mergeCell ref="A54:A55"/>
    <mergeCell ref="A59:A70"/>
    <mergeCell ref="A71:A77"/>
    <mergeCell ref="A78:A81"/>
    <mergeCell ref="A84:A88"/>
    <mergeCell ref="A89:A95"/>
    <mergeCell ref="A96:A99"/>
    <mergeCell ref="A100:A101"/>
    <mergeCell ref="A105:A106"/>
    <mergeCell ref="A107:A110"/>
    <mergeCell ref="A111:A114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3"/>
  <sheetViews>
    <sheetView topLeftCell="A207" workbookViewId="0">
      <selection activeCell="A81" sqref="A81:C91"/>
    </sheetView>
  </sheetViews>
  <sheetFormatPr defaultColWidth="9.23076923076923" defaultRowHeight="16.8"/>
  <cols>
    <col min="1" max="1" width="17.3076923076923" customWidth="1"/>
    <col min="2" max="2" width="13.2980769230769" customWidth="1"/>
    <col min="3" max="3" width="33.9711538461538" customWidth="1"/>
    <col min="4" max="4" width="20.0288461538462" customWidth="1"/>
    <col min="5" max="5" width="12.3365384615385" customWidth="1"/>
    <col min="12" max="12" width="23.7211538461538" customWidth="1"/>
  </cols>
  <sheetData>
    <row r="1" ht="20" customHeight="1" spans="1:3">
      <c r="A1" s="57" t="s">
        <v>462</v>
      </c>
      <c r="B1" s="57" t="s">
        <v>463</v>
      </c>
      <c r="C1" s="57" t="s">
        <v>99</v>
      </c>
    </row>
    <row r="2" ht="20" customHeight="1" spans="1:3">
      <c r="A2" s="58" t="s">
        <v>464</v>
      </c>
      <c r="B2" s="58" t="s">
        <v>465</v>
      </c>
      <c r="C2" s="58" t="s">
        <v>466</v>
      </c>
    </row>
    <row r="3" ht="20" customHeight="1" spans="1:3">
      <c r="A3" s="58" t="s">
        <v>467</v>
      </c>
      <c r="B3" s="58" t="s">
        <v>468</v>
      </c>
      <c r="C3" s="58" t="s">
        <v>469</v>
      </c>
    </row>
    <row r="4" ht="20" customHeight="1" spans="1:3">
      <c r="A4" s="58" t="s">
        <v>464</v>
      </c>
      <c r="B4" s="58" t="s">
        <v>468</v>
      </c>
      <c r="C4" s="58" t="s">
        <v>470</v>
      </c>
    </row>
    <row r="5" ht="20" customHeight="1" spans="1:3">
      <c r="A5" s="58" t="s">
        <v>471</v>
      </c>
      <c r="B5" s="58" t="s">
        <v>472</v>
      </c>
      <c r="C5" s="58" t="s">
        <v>473</v>
      </c>
    </row>
    <row r="6" customHeight="1"/>
    <row r="7" ht="20" customHeight="1" spans="1:12">
      <c r="A7" s="5" t="s">
        <v>474</v>
      </c>
      <c r="B7" s="5" t="s">
        <v>475</v>
      </c>
      <c r="C7" s="5" t="s">
        <v>476</v>
      </c>
      <c r="D7" s="59" t="s">
        <v>477</v>
      </c>
      <c r="E7" s="74"/>
      <c r="F7" s="74"/>
      <c r="G7" s="74"/>
      <c r="H7" s="74"/>
      <c r="I7" s="74"/>
      <c r="J7" s="74"/>
      <c r="K7" s="75"/>
      <c r="L7" s="76" t="s">
        <v>478</v>
      </c>
    </row>
    <row r="8" ht="20" customHeight="1" spans="1:12">
      <c r="A8" s="58" t="s">
        <v>479</v>
      </c>
      <c r="B8" s="58" t="s">
        <v>480</v>
      </c>
      <c r="C8" s="58" t="s">
        <v>481</v>
      </c>
      <c r="D8" s="58" t="s">
        <v>482</v>
      </c>
      <c r="E8" s="58" t="s">
        <v>483</v>
      </c>
      <c r="F8" s="58" t="s">
        <v>484</v>
      </c>
      <c r="G8" s="58" t="s">
        <v>485</v>
      </c>
      <c r="H8" s="58" t="s">
        <v>486</v>
      </c>
      <c r="I8" s="58" t="s">
        <v>487</v>
      </c>
      <c r="J8" s="58" t="s">
        <v>488</v>
      </c>
      <c r="K8" s="58" t="s">
        <v>489</v>
      </c>
      <c r="L8" s="77" t="s">
        <v>490</v>
      </c>
    </row>
    <row r="9" ht="20" customHeight="1" spans="1:12">
      <c r="A9" s="58" t="s">
        <v>491</v>
      </c>
      <c r="B9" s="58" t="s">
        <v>492</v>
      </c>
      <c r="C9" s="58" t="s">
        <v>493</v>
      </c>
      <c r="D9" s="58" t="s">
        <v>494</v>
      </c>
      <c r="E9" s="58" t="s">
        <v>494</v>
      </c>
      <c r="F9" s="58" t="s">
        <v>494</v>
      </c>
      <c r="G9" s="58" t="s">
        <v>494</v>
      </c>
      <c r="H9" s="58" t="s">
        <v>494</v>
      </c>
      <c r="I9" s="58" t="s">
        <v>494</v>
      </c>
      <c r="J9" s="58" t="s">
        <v>494</v>
      </c>
      <c r="K9" s="58" t="s">
        <v>494</v>
      </c>
      <c r="L9" s="77" t="s">
        <v>495</v>
      </c>
    </row>
    <row r="10" ht="20" customHeight="1" spans="1:12">
      <c r="A10" s="58" t="s">
        <v>496</v>
      </c>
      <c r="B10" s="58" t="s">
        <v>497</v>
      </c>
      <c r="C10" s="58" t="s">
        <v>498</v>
      </c>
      <c r="D10" s="58" t="s">
        <v>499</v>
      </c>
      <c r="E10" s="58"/>
      <c r="F10" s="58"/>
      <c r="G10" s="58"/>
      <c r="H10" s="58"/>
      <c r="I10" s="58"/>
      <c r="J10" s="58"/>
      <c r="K10" s="58"/>
      <c r="L10" s="77" t="s">
        <v>500</v>
      </c>
    </row>
    <row r="11" ht="20" customHeight="1" spans="1:12">
      <c r="A11" s="58" t="s">
        <v>501</v>
      </c>
      <c r="B11" s="58" t="s">
        <v>502</v>
      </c>
      <c r="C11" s="58" t="s">
        <v>498</v>
      </c>
      <c r="D11" s="58" t="s">
        <v>503</v>
      </c>
      <c r="E11" s="58"/>
      <c r="F11" s="58"/>
      <c r="G11" s="58"/>
      <c r="H11" s="58"/>
      <c r="I11" s="58"/>
      <c r="J11" s="58"/>
      <c r="K11" s="58"/>
      <c r="L11" s="77" t="s">
        <v>504</v>
      </c>
    </row>
    <row r="12" ht="20" customHeight="1" spans="1:12">
      <c r="A12" s="58" t="s">
        <v>505</v>
      </c>
      <c r="B12" s="58" t="s">
        <v>506</v>
      </c>
      <c r="C12" s="58" t="s">
        <v>498</v>
      </c>
      <c r="D12" s="58" t="s">
        <v>507</v>
      </c>
      <c r="E12" s="58" t="s">
        <v>494</v>
      </c>
      <c r="F12" s="58" t="s">
        <v>494</v>
      </c>
      <c r="G12" s="58" t="s">
        <v>508</v>
      </c>
      <c r="H12" s="58" t="s">
        <v>509</v>
      </c>
      <c r="I12" s="58" t="s">
        <v>510</v>
      </c>
      <c r="J12" s="58" t="s">
        <v>511</v>
      </c>
      <c r="K12" s="58" t="s">
        <v>512</v>
      </c>
      <c r="L12" s="77" t="s">
        <v>513</v>
      </c>
    </row>
    <row r="13" ht="20" customHeight="1" spans="1:12">
      <c r="A13" s="58" t="s">
        <v>514</v>
      </c>
      <c r="B13" s="58" t="s">
        <v>515</v>
      </c>
      <c r="C13" s="58" t="s">
        <v>498</v>
      </c>
      <c r="D13" s="58" t="s">
        <v>516</v>
      </c>
      <c r="E13" s="58" t="s">
        <v>517</v>
      </c>
      <c r="F13" s="58" t="s">
        <v>518</v>
      </c>
      <c r="G13" s="58" t="s">
        <v>519</v>
      </c>
      <c r="H13" s="58" t="s">
        <v>520</v>
      </c>
      <c r="I13" s="58" t="s">
        <v>521</v>
      </c>
      <c r="J13" s="58" t="s">
        <v>522</v>
      </c>
      <c r="K13" s="58" t="s">
        <v>523</v>
      </c>
      <c r="L13" s="77" t="s">
        <v>524</v>
      </c>
    </row>
    <row r="14" ht="20" customHeight="1" spans="1:12">
      <c r="A14" s="58" t="s">
        <v>525</v>
      </c>
      <c r="B14" s="58" t="s">
        <v>526</v>
      </c>
      <c r="C14" s="58" t="s">
        <v>498</v>
      </c>
      <c r="D14" s="58" t="s">
        <v>527</v>
      </c>
      <c r="E14" s="58" t="s">
        <v>528</v>
      </c>
      <c r="F14" s="58" t="s">
        <v>529</v>
      </c>
      <c r="G14" s="58" t="s">
        <v>530</v>
      </c>
      <c r="H14" s="58" t="s">
        <v>527</v>
      </c>
      <c r="I14" s="58" t="s">
        <v>528</v>
      </c>
      <c r="J14" s="58" t="s">
        <v>529</v>
      </c>
      <c r="K14" s="58" t="s">
        <v>530</v>
      </c>
      <c r="L14" s="77" t="s">
        <v>531</v>
      </c>
    </row>
    <row r="15" ht="20" customHeight="1" spans="1:12">
      <c r="A15" s="58" t="s">
        <v>532</v>
      </c>
      <c r="B15" s="58" t="s">
        <v>533</v>
      </c>
      <c r="C15" s="58" t="s">
        <v>498</v>
      </c>
      <c r="D15" s="58" t="s">
        <v>534</v>
      </c>
      <c r="E15" s="58"/>
      <c r="F15" s="58"/>
      <c r="G15" s="58"/>
      <c r="H15" s="58"/>
      <c r="I15" s="58"/>
      <c r="J15" s="58"/>
      <c r="K15" s="58"/>
      <c r="L15" s="77" t="s">
        <v>535</v>
      </c>
    </row>
    <row r="16" ht="20" customHeight="1" spans="1:12">
      <c r="A16" s="58" t="s">
        <v>536</v>
      </c>
      <c r="B16" s="58" t="s">
        <v>537</v>
      </c>
      <c r="C16" s="58" t="s">
        <v>498</v>
      </c>
      <c r="D16" s="58" t="s">
        <v>538</v>
      </c>
      <c r="E16" s="58"/>
      <c r="F16" s="58"/>
      <c r="G16" s="58"/>
      <c r="H16" s="58"/>
      <c r="I16" s="58"/>
      <c r="J16" s="58"/>
      <c r="K16" s="58"/>
      <c r="L16" s="77" t="s">
        <v>539</v>
      </c>
    </row>
    <row r="17" ht="20" customHeight="1" spans="1:12">
      <c r="A17" s="58" t="s">
        <v>540</v>
      </c>
      <c r="B17" s="58" t="s">
        <v>541</v>
      </c>
      <c r="C17" s="58" t="s">
        <v>498</v>
      </c>
      <c r="D17" s="58" t="s">
        <v>542</v>
      </c>
      <c r="E17" s="58"/>
      <c r="F17" s="58"/>
      <c r="G17" s="58"/>
      <c r="H17" s="58"/>
      <c r="I17" s="58"/>
      <c r="J17" s="58"/>
      <c r="K17" s="58"/>
      <c r="L17" s="77" t="s">
        <v>543</v>
      </c>
    </row>
    <row r="18" ht="20" customHeight="1" spans="1:12">
      <c r="A18" s="58" t="s">
        <v>544</v>
      </c>
      <c r="B18" s="58" t="s">
        <v>545</v>
      </c>
      <c r="C18" s="58" t="s">
        <v>498</v>
      </c>
      <c r="D18" s="58" t="s">
        <v>546</v>
      </c>
      <c r="E18" s="58"/>
      <c r="F18" s="58"/>
      <c r="G18" s="58"/>
      <c r="H18" s="58"/>
      <c r="I18" s="58"/>
      <c r="J18" s="58"/>
      <c r="K18" s="58"/>
      <c r="L18" s="77" t="s">
        <v>547</v>
      </c>
    </row>
    <row r="19" ht="20" customHeight="1" spans="1:12">
      <c r="A19" s="58" t="s">
        <v>548</v>
      </c>
      <c r="B19" s="58" t="s">
        <v>549</v>
      </c>
      <c r="C19" s="58" t="s">
        <v>481</v>
      </c>
      <c r="D19" s="58" t="s">
        <v>550</v>
      </c>
      <c r="E19" s="58" t="s">
        <v>551</v>
      </c>
      <c r="F19" s="58" t="s">
        <v>552</v>
      </c>
      <c r="G19" s="58" t="s">
        <v>553</v>
      </c>
      <c r="H19" s="58" t="s">
        <v>554</v>
      </c>
      <c r="I19" s="58" t="s">
        <v>555</v>
      </c>
      <c r="J19" s="58" t="s">
        <v>556</v>
      </c>
      <c r="K19" s="58" t="s">
        <v>557</v>
      </c>
      <c r="L19" s="77" t="s">
        <v>558</v>
      </c>
    </row>
    <row r="20" ht="20" customHeight="1" spans="1:12">
      <c r="A20" s="58" t="s">
        <v>559</v>
      </c>
      <c r="B20" s="58" t="s">
        <v>560</v>
      </c>
      <c r="C20" s="58" t="s">
        <v>498</v>
      </c>
      <c r="D20" s="58" t="s">
        <v>561</v>
      </c>
      <c r="E20" s="58" t="s">
        <v>562</v>
      </c>
      <c r="F20" s="58" t="s">
        <v>563</v>
      </c>
      <c r="G20" s="58" t="s">
        <v>564</v>
      </c>
      <c r="H20" s="58" t="s">
        <v>565</v>
      </c>
      <c r="I20" s="58" t="s">
        <v>566</v>
      </c>
      <c r="J20" s="58" t="s">
        <v>567</v>
      </c>
      <c r="K20" s="58" t="s">
        <v>568</v>
      </c>
      <c r="L20" s="77" t="s">
        <v>569</v>
      </c>
    </row>
    <row r="21" ht="20" customHeight="1" spans="1:12">
      <c r="A21" s="58" t="s">
        <v>570</v>
      </c>
      <c r="B21" s="58" t="s">
        <v>571</v>
      </c>
      <c r="C21" s="58" t="s">
        <v>572</v>
      </c>
      <c r="D21" s="58" t="s">
        <v>573</v>
      </c>
      <c r="E21" s="58"/>
      <c r="F21" s="58"/>
      <c r="G21" s="58"/>
      <c r="H21" s="58"/>
      <c r="I21" s="58"/>
      <c r="J21" s="58"/>
      <c r="K21" s="58"/>
      <c r="L21" s="77" t="s">
        <v>574</v>
      </c>
    </row>
    <row r="22" ht="20" customHeight="1" spans="1:12">
      <c r="A22" s="58" t="s">
        <v>575</v>
      </c>
      <c r="B22" s="58" t="s">
        <v>576</v>
      </c>
      <c r="C22" s="58" t="s">
        <v>481</v>
      </c>
      <c r="D22" s="58" t="s">
        <v>577</v>
      </c>
      <c r="E22" s="58" t="s">
        <v>578</v>
      </c>
      <c r="F22" s="58" t="s">
        <v>579</v>
      </c>
      <c r="G22" s="58" t="s">
        <v>580</v>
      </c>
      <c r="H22" s="58" t="s">
        <v>581</v>
      </c>
      <c r="I22" s="58" t="s">
        <v>582</v>
      </c>
      <c r="J22" s="58" t="s">
        <v>583</v>
      </c>
      <c r="K22" s="58" t="s">
        <v>584</v>
      </c>
      <c r="L22" s="77" t="s">
        <v>585</v>
      </c>
    </row>
    <row r="23" ht="20" customHeight="1" spans="1:12">
      <c r="A23" s="58" t="s">
        <v>586</v>
      </c>
      <c r="B23" s="58" t="s">
        <v>587</v>
      </c>
      <c r="C23" s="58" t="s">
        <v>498</v>
      </c>
      <c r="D23" s="58" t="s">
        <v>588</v>
      </c>
      <c r="E23" s="58" t="s">
        <v>494</v>
      </c>
      <c r="F23" s="58" t="s">
        <v>589</v>
      </c>
      <c r="G23" s="58" t="s">
        <v>590</v>
      </c>
      <c r="H23" s="58" t="s">
        <v>591</v>
      </c>
      <c r="I23" s="58" t="s">
        <v>592</v>
      </c>
      <c r="J23" s="58" t="s">
        <v>593</v>
      </c>
      <c r="K23" s="58" t="s">
        <v>594</v>
      </c>
      <c r="L23" s="77" t="s">
        <v>595</v>
      </c>
    </row>
    <row r="24" ht="20" customHeight="1" spans="1:12">
      <c r="A24" s="58" t="s">
        <v>596</v>
      </c>
      <c r="B24" s="58" t="s">
        <v>597</v>
      </c>
      <c r="C24" s="58" t="s">
        <v>481</v>
      </c>
      <c r="D24" s="58" t="s">
        <v>598</v>
      </c>
      <c r="E24" s="58" t="s">
        <v>599</v>
      </c>
      <c r="F24" s="58" t="s">
        <v>600</v>
      </c>
      <c r="G24" s="58" t="s">
        <v>601</v>
      </c>
      <c r="H24" s="58" t="s">
        <v>602</v>
      </c>
      <c r="I24" s="58" t="s">
        <v>603</v>
      </c>
      <c r="J24" s="58" t="s">
        <v>604</v>
      </c>
      <c r="K24" s="58" t="s">
        <v>605</v>
      </c>
      <c r="L24" s="77" t="s">
        <v>606</v>
      </c>
    </row>
    <row r="25" ht="20" customHeight="1" spans="1:12">
      <c r="A25" s="58" t="s">
        <v>607</v>
      </c>
      <c r="B25" s="58" t="s">
        <v>608</v>
      </c>
      <c r="C25" s="58" t="s">
        <v>498</v>
      </c>
      <c r="D25" s="58" t="s">
        <v>494</v>
      </c>
      <c r="E25" s="58" t="s">
        <v>494</v>
      </c>
      <c r="F25" s="58" t="s">
        <v>609</v>
      </c>
      <c r="G25" s="58" t="s">
        <v>610</v>
      </c>
      <c r="H25" s="58" t="s">
        <v>611</v>
      </c>
      <c r="I25" s="58" t="s">
        <v>612</v>
      </c>
      <c r="J25" s="58" t="s">
        <v>613</v>
      </c>
      <c r="K25" s="58" t="s">
        <v>614</v>
      </c>
      <c r="L25" s="77" t="s">
        <v>615</v>
      </c>
    </row>
    <row r="26" ht="20" customHeight="1" spans="1:12">
      <c r="A26" s="58" t="s">
        <v>616</v>
      </c>
      <c r="B26" s="58" t="s">
        <v>617</v>
      </c>
      <c r="C26" s="58" t="s">
        <v>498</v>
      </c>
      <c r="D26" s="58" t="s">
        <v>618</v>
      </c>
      <c r="E26" s="58" t="s">
        <v>619</v>
      </c>
      <c r="F26" s="58" t="s">
        <v>620</v>
      </c>
      <c r="G26" s="58" t="s">
        <v>621</v>
      </c>
      <c r="H26" s="58" t="s">
        <v>622</v>
      </c>
      <c r="I26" s="58" t="s">
        <v>623</v>
      </c>
      <c r="J26" s="58" t="s">
        <v>494</v>
      </c>
      <c r="K26" s="58" t="s">
        <v>624</v>
      </c>
      <c r="L26" s="77" t="s">
        <v>625</v>
      </c>
    </row>
    <row r="27" ht="20" customHeight="1" spans="1:12">
      <c r="A27" s="58" t="s">
        <v>626</v>
      </c>
      <c r="B27" s="58" t="s">
        <v>627</v>
      </c>
      <c r="C27" s="58" t="s">
        <v>498</v>
      </c>
      <c r="D27" s="58" t="s">
        <v>628</v>
      </c>
      <c r="E27" s="58"/>
      <c r="F27" s="58"/>
      <c r="G27" s="58"/>
      <c r="H27" s="58"/>
      <c r="I27" s="58"/>
      <c r="J27" s="58"/>
      <c r="K27" s="58"/>
      <c r="L27" s="77" t="s">
        <v>629</v>
      </c>
    </row>
    <row r="28" ht="20" customHeight="1" spans="1:12">
      <c r="A28" s="58" t="s">
        <v>630</v>
      </c>
      <c r="B28" s="58" t="s">
        <v>631</v>
      </c>
      <c r="C28" s="58" t="s">
        <v>498</v>
      </c>
      <c r="D28" s="58" t="s">
        <v>632</v>
      </c>
      <c r="E28" s="58"/>
      <c r="F28" s="58"/>
      <c r="G28" s="58"/>
      <c r="H28" s="58"/>
      <c r="I28" s="58"/>
      <c r="J28" s="58"/>
      <c r="K28" s="58"/>
      <c r="L28" s="58" t="s">
        <v>633</v>
      </c>
    </row>
    <row r="29" ht="20" customHeight="1"/>
    <row r="31" ht="20" customHeight="1" spans="1:4">
      <c r="A31" s="60" t="s">
        <v>634</v>
      </c>
      <c r="B31" s="61"/>
      <c r="C31" s="61"/>
      <c r="D31" s="61"/>
    </row>
    <row r="32" ht="20" customHeight="1" spans="1:4">
      <c r="A32" s="62" t="s">
        <v>635</v>
      </c>
      <c r="B32" s="62" t="s">
        <v>636</v>
      </c>
      <c r="C32" s="62" t="s">
        <v>637</v>
      </c>
      <c r="D32" s="62" t="s">
        <v>638</v>
      </c>
    </row>
    <row r="33" ht="20" customHeight="1" spans="1:4">
      <c r="A33" s="63" t="s">
        <v>639</v>
      </c>
      <c r="B33" s="63" t="s">
        <v>640</v>
      </c>
      <c r="C33" s="63" t="s">
        <v>641</v>
      </c>
      <c r="D33" s="63" t="s">
        <v>642</v>
      </c>
    </row>
    <row r="34" ht="20" customHeight="1" spans="1:4">
      <c r="A34" s="63"/>
      <c r="B34" s="63"/>
      <c r="C34" s="63"/>
      <c r="D34" s="63" t="s">
        <v>643</v>
      </c>
    </row>
    <row r="35" ht="20" customHeight="1" spans="1:4">
      <c r="A35" s="63"/>
      <c r="B35" s="63"/>
      <c r="C35" s="63"/>
      <c r="D35" s="63" t="s">
        <v>644</v>
      </c>
    </row>
    <row r="36" ht="20" customHeight="1" spans="1:4">
      <c r="A36" s="63" t="s">
        <v>645</v>
      </c>
      <c r="B36" s="63" t="s">
        <v>646</v>
      </c>
      <c r="C36" s="63" t="s">
        <v>641</v>
      </c>
      <c r="D36" s="63" t="s">
        <v>647</v>
      </c>
    </row>
    <row r="37" ht="20" customHeight="1" spans="1:4">
      <c r="A37" s="63"/>
      <c r="B37" s="63"/>
      <c r="C37" s="63"/>
      <c r="D37" s="63" t="s">
        <v>648</v>
      </c>
    </row>
    <row r="38" ht="20" customHeight="1" spans="1:4">
      <c r="A38" s="63" t="s">
        <v>649</v>
      </c>
      <c r="B38" s="63" t="s">
        <v>650</v>
      </c>
      <c r="C38" s="63" t="s">
        <v>641</v>
      </c>
      <c r="D38" s="63" t="s">
        <v>651</v>
      </c>
    </row>
    <row r="39" ht="20" customHeight="1" spans="1:4">
      <c r="A39" s="63" t="s">
        <v>652</v>
      </c>
      <c r="B39" s="63" t="s">
        <v>653</v>
      </c>
      <c r="C39" s="63" t="s">
        <v>641</v>
      </c>
      <c r="D39" s="63" t="s">
        <v>654</v>
      </c>
    </row>
    <row r="40" ht="20" customHeight="1" spans="1:4">
      <c r="A40" s="63" t="s">
        <v>655</v>
      </c>
      <c r="B40" s="63" t="s">
        <v>656</v>
      </c>
      <c r="C40" s="63" t="s">
        <v>641</v>
      </c>
      <c r="D40" s="63" t="s">
        <v>657</v>
      </c>
    </row>
    <row r="41" ht="20" customHeight="1" spans="1:4">
      <c r="A41" s="63" t="s">
        <v>658</v>
      </c>
      <c r="B41" s="63" t="s">
        <v>659</v>
      </c>
      <c r="C41" s="63" t="s">
        <v>641</v>
      </c>
      <c r="D41" s="63" t="s">
        <v>660</v>
      </c>
    </row>
    <row r="42" ht="20" customHeight="1" spans="1:4">
      <c r="A42" s="63" t="s">
        <v>661</v>
      </c>
      <c r="B42" s="63" t="s">
        <v>662</v>
      </c>
      <c r="C42" s="63" t="s">
        <v>663</v>
      </c>
      <c r="D42" s="63" t="s">
        <v>664</v>
      </c>
    </row>
    <row r="43" ht="20" customHeight="1" spans="1:4">
      <c r="A43" s="63" t="s">
        <v>665</v>
      </c>
      <c r="B43" s="63" t="s">
        <v>666</v>
      </c>
      <c r="C43" s="63" t="s">
        <v>641</v>
      </c>
      <c r="D43" s="63" t="s">
        <v>667</v>
      </c>
    </row>
    <row r="44" ht="20" customHeight="1" spans="1:4">
      <c r="A44" s="63" t="s">
        <v>668</v>
      </c>
      <c r="B44" s="63" t="s">
        <v>669</v>
      </c>
      <c r="C44" s="63" t="s">
        <v>641</v>
      </c>
      <c r="D44" s="63" t="s">
        <v>670</v>
      </c>
    </row>
    <row r="45" ht="20" customHeight="1" spans="1:4">
      <c r="A45" s="63" t="s">
        <v>671</v>
      </c>
      <c r="B45" s="63" t="s">
        <v>672</v>
      </c>
      <c r="C45" s="63" t="s">
        <v>641</v>
      </c>
      <c r="D45" s="63" t="s">
        <v>673</v>
      </c>
    </row>
    <row r="46" ht="20" customHeight="1" spans="1:4">
      <c r="A46" s="63" t="s">
        <v>674</v>
      </c>
      <c r="B46" s="63" t="s">
        <v>675</v>
      </c>
      <c r="C46" s="63" t="s">
        <v>641</v>
      </c>
      <c r="D46" s="63" t="s">
        <v>676</v>
      </c>
    </row>
    <row r="47" ht="20" customHeight="1" spans="1:4">
      <c r="A47" s="63" t="s">
        <v>677</v>
      </c>
      <c r="B47" s="63" t="s">
        <v>678</v>
      </c>
      <c r="C47" s="63" t="s">
        <v>641</v>
      </c>
      <c r="D47" s="63" t="s">
        <v>679</v>
      </c>
    </row>
    <row r="48" ht="20" customHeight="1" spans="1:4">
      <c r="A48" s="63" t="s">
        <v>680</v>
      </c>
      <c r="B48" s="63" t="s">
        <v>681</v>
      </c>
      <c r="C48" s="63" t="s">
        <v>641</v>
      </c>
      <c r="D48" s="63" t="s">
        <v>682</v>
      </c>
    </row>
    <row r="49" ht="20" customHeight="1" spans="1:4">
      <c r="A49" s="63" t="s">
        <v>683</v>
      </c>
      <c r="B49" s="63" t="s">
        <v>684</v>
      </c>
      <c r="C49" s="63" t="s">
        <v>663</v>
      </c>
      <c r="D49" s="63" t="s">
        <v>685</v>
      </c>
    </row>
    <row r="50" ht="20" customHeight="1" spans="1:4">
      <c r="A50" s="63" t="s">
        <v>686</v>
      </c>
      <c r="B50" s="63" t="s">
        <v>687</v>
      </c>
      <c r="C50" s="63" t="s">
        <v>663</v>
      </c>
      <c r="D50" s="63" t="s">
        <v>688</v>
      </c>
    </row>
    <row r="52" spans="1:1">
      <c r="A52" s="64" t="s">
        <v>689</v>
      </c>
    </row>
    <row r="53" spans="1:3">
      <c r="A53" s="65" t="s">
        <v>47</v>
      </c>
      <c r="B53" s="66"/>
      <c r="C53" s="67"/>
    </row>
    <row r="54" ht="20" customHeight="1" spans="1:3">
      <c r="A54" s="68" t="s">
        <v>690</v>
      </c>
      <c r="B54" s="69"/>
      <c r="C54" s="70"/>
    </row>
    <row r="55" ht="20" customHeight="1" spans="1:3">
      <c r="A55" s="68" t="s">
        <v>691</v>
      </c>
      <c r="B55" s="69"/>
      <c r="C55" s="70"/>
    </row>
    <row r="56" ht="20" customHeight="1" spans="1:3">
      <c r="A56" s="71" t="s">
        <v>692</v>
      </c>
      <c r="B56" s="72"/>
      <c r="C56" s="73"/>
    </row>
    <row r="57" ht="20" customHeight="1" spans="1:3">
      <c r="A57" s="71" t="s">
        <v>693</v>
      </c>
      <c r="B57" s="72"/>
      <c r="C57" s="73"/>
    </row>
    <row r="58" ht="20" customHeight="1" spans="1:3">
      <c r="A58" s="71" t="s">
        <v>694</v>
      </c>
      <c r="B58" s="72"/>
      <c r="C58" s="73"/>
    </row>
    <row r="59" ht="20" customHeight="1" spans="1:3">
      <c r="A59" s="71" t="s">
        <v>695</v>
      </c>
      <c r="B59" s="72"/>
      <c r="C59" s="73"/>
    </row>
    <row r="60" ht="20" customHeight="1" spans="1:3">
      <c r="A60" s="71" t="s">
        <v>696</v>
      </c>
      <c r="B60" s="72"/>
      <c r="C60" s="73"/>
    </row>
    <row r="61" ht="20" customHeight="1" spans="1:3">
      <c r="A61" s="71" t="s">
        <v>697</v>
      </c>
      <c r="B61" s="72"/>
      <c r="C61" s="73"/>
    </row>
    <row r="62" ht="20" customHeight="1" spans="1:3">
      <c r="A62" s="71" t="s">
        <v>698</v>
      </c>
      <c r="B62" s="72"/>
      <c r="C62" s="73"/>
    </row>
    <row r="63" ht="20" customHeight="1" spans="1:3">
      <c r="A63" s="71" t="s">
        <v>699</v>
      </c>
      <c r="B63" s="72"/>
      <c r="C63" s="73"/>
    </row>
    <row r="64" ht="20" customHeight="1" spans="1:3">
      <c r="A64" s="71" t="s">
        <v>700</v>
      </c>
      <c r="B64" s="72"/>
      <c r="C64" s="73"/>
    </row>
    <row r="65" ht="20" customHeight="1" spans="1:3">
      <c r="A65" s="71" t="s">
        <v>701</v>
      </c>
      <c r="B65" s="72"/>
      <c r="C65" s="73"/>
    </row>
    <row r="67" spans="1:3">
      <c r="A67" s="78" t="s">
        <v>702</v>
      </c>
      <c r="B67" s="78"/>
      <c r="C67" s="78"/>
    </row>
    <row r="68" spans="1:3">
      <c r="A68" s="78" t="s">
        <v>47</v>
      </c>
      <c r="B68" s="78"/>
      <c r="C68" s="78"/>
    </row>
    <row r="69" spans="1:3">
      <c r="A69" s="78" t="s">
        <v>703</v>
      </c>
      <c r="B69" s="78"/>
      <c r="C69" s="78"/>
    </row>
    <row r="70" spans="1:3">
      <c r="A70" s="78" t="s">
        <v>704</v>
      </c>
      <c r="B70" s="78"/>
      <c r="C70" s="78"/>
    </row>
    <row r="71" spans="1:3">
      <c r="A71" s="78" t="s">
        <v>705</v>
      </c>
      <c r="B71" s="78"/>
      <c r="C71" s="78"/>
    </row>
    <row r="72" spans="1:3">
      <c r="A72" s="78" t="s">
        <v>706</v>
      </c>
      <c r="B72" s="78"/>
      <c r="C72" s="78"/>
    </row>
    <row r="73" spans="1:3">
      <c r="A73" s="78" t="s">
        <v>707</v>
      </c>
      <c r="B73" s="78"/>
      <c r="C73" s="78"/>
    </row>
    <row r="74" spans="1:3">
      <c r="A74" s="78" t="s">
        <v>708</v>
      </c>
      <c r="B74" s="78"/>
      <c r="C74" s="78"/>
    </row>
    <row r="75" spans="1:3">
      <c r="A75" s="78" t="s">
        <v>709</v>
      </c>
      <c r="B75" s="78"/>
      <c r="C75" s="78"/>
    </row>
    <row r="76" spans="1:3">
      <c r="A76" s="78" t="s">
        <v>710</v>
      </c>
      <c r="B76" s="78"/>
      <c r="C76" s="78"/>
    </row>
    <row r="77" spans="1:3">
      <c r="A77" s="78" t="s">
        <v>711</v>
      </c>
      <c r="B77" s="78"/>
      <c r="C77" s="78"/>
    </row>
    <row r="79" spans="1:1">
      <c r="A79" t="s">
        <v>712</v>
      </c>
    </row>
    <row r="80" spans="1:1">
      <c r="A80" t="s">
        <v>47</v>
      </c>
    </row>
    <row r="81" spans="1:3">
      <c r="A81" s="78" t="s">
        <v>713</v>
      </c>
      <c r="B81" s="78"/>
      <c r="C81" s="78"/>
    </row>
    <row r="82" spans="1:3">
      <c r="A82" s="78" t="s">
        <v>714</v>
      </c>
      <c r="B82" s="78"/>
      <c r="C82" s="78"/>
    </row>
    <row r="83" spans="1:3">
      <c r="A83" s="78" t="s">
        <v>715</v>
      </c>
      <c r="B83" s="78"/>
      <c r="C83" s="78"/>
    </row>
    <row r="84" spans="1:3">
      <c r="A84" s="78"/>
      <c r="B84" s="78"/>
      <c r="C84" s="78"/>
    </row>
    <row r="85" spans="1:3">
      <c r="A85" s="78" t="s">
        <v>716</v>
      </c>
      <c r="B85" s="78"/>
      <c r="C85" s="78"/>
    </row>
    <row r="86" spans="1:3">
      <c r="A86" s="78" t="s">
        <v>717</v>
      </c>
      <c r="B86" s="78"/>
      <c r="C86" s="78"/>
    </row>
    <row r="87" spans="1:3">
      <c r="A87" s="78" t="s">
        <v>718</v>
      </c>
      <c r="B87" s="78"/>
      <c r="C87" s="78"/>
    </row>
    <row r="88" spans="1:3">
      <c r="A88" s="78" t="s">
        <v>719</v>
      </c>
      <c r="B88" s="78"/>
      <c r="C88" s="78"/>
    </row>
    <row r="89" spans="1:3">
      <c r="A89" s="78" t="s">
        <v>720</v>
      </c>
      <c r="B89" s="78"/>
      <c r="C89" s="78"/>
    </row>
    <row r="90" spans="1:3">
      <c r="A90" s="78" t="s">
        <v>721</v>
      </c>
      <c r="B90" s="78"/>
      <c r="C90" s="78"/>
    </row>
    <row r="91" spans="1:3">
      <c r="A91" s="78" t="s">
        <v>722</v>
      </c>
      <c r="B91" s="78"/>
      <c r="C91" s="78"/>
    </row>
    <row r="92" spans="1:1">
      <c r="A92" t="s">
        <v>723</v>
      </c>
    </row>
    <row r="93" spans="1:1">
      <c r="A93" t="s">
        <v>47</v>
      </c>
    </row>
    <row r="94" spans="1:3">
      <c r="A94" s="78" t="s">
        <v>724</v>
      </c>
      <c r="B94" s="78"/>
      <c r="C94" s="78"/>
    </row>
    <row r="95" spans="1:3">
      <c r="A95" s="78" t="s">
        <v>714</v>
      </c>
      <c r="B95" s="78"/>
      <c r="C95" s="78"/>
    </row>
    <row r="96" spans="1:3">
      <c r="A96" s="78" t="s">
        <v>725</v>
      </c>
      <c r="B96" s="78"/>
      <c r="C96" s="78"/>
    </row>
    <row r="97" spans="1:3">
      <c r="A97" s="78" t="s">
        <v>726</v>
      </c>
      <c r="B97" s="78"/>
      <c r="C97" s="78"/>
    </row>
    <row r="98" spans="1:3">
      <c r="A98" s="78" t="s">
        <v>727</v>
      </c>
      <c r="B98" s="78"/>
      <c r="C98" s="78"/>
    </row>
    <row r="99" spans="1:3">
      <c r="A99" s="78" t="s">
        <v>728</v>
      </c>
      <c r="B99" s="78"/>
      <c r="C99" s="78"/>
    </row>
    <row r="100" spans="1:3">
      <c r="A100" s="78" t="s">
        <v>729</v>
      </c>
      <c r="B100" s="78"/>
      <c r="C100" s="78"/>
    </row>
    <row r="101" spans="1:3">
      <c r="A101" s="78" t="s">
        <v>730</v>
      </c>
      <c r="B101" s="78"/>
      <c r="C101" s="78"/>
    </row>
    <row r="103" spans="1:1">
      <c r="A103" t="s">
        <v>731</v>
      </c>
    </row>
    <row r="104" spans="1:1">
      <c r="A104" t="s">
        <v>732</v>
      </c>
    </row>
    <row r="105" spans="1:1">
      <c r="A105" t="s">
        <v>47</v>
      </c>
    </row>
    <row r="106" spans="1:1">
      <c r="A106" t="s">
        <v>733</v>
      </c>
    </row>
    <row r="107" spans="1:3">
      <c r="A107" s="78" t="s">
        <v>734</v>
      </c>
      <c r="B107" s="78"/>
      <c r="C107" s="78"/>
    </row>
    <row r="108" spans="1:3">
      <c r="A108" s="78" t="s">
        <v>735</v>
      </c>
      <c r="B108" s="78"/>
      <c r="C108" s="78"/>
    </row>
    <row r="109" spans="1:3">
      <c r="A109" s="79"/>
      <c r="B109" s="80"/>
      <c r="C109" s="81"/>
    </row>
    <row r="110" spans="1:3">
      <c r="A110" s="78" t="s">
        <v>736</v>
      </c>
      <c r="B110" s="78"/>
      <c r="C110" s="78"/>
    </row>
    <row r="111" spans="1:3">
      <c r="A111" s="78" t="s">
        <v>737</v>
      </c>
      <c r="B111" s="78"/>
      <c r="C111" s="78"/>
    </row>
    <row r="112" spans="1:3">
      <c r="A112" s="78" t="s">
        <v>738</v>
      </c>
      <c r="B112" s="78"/>
      <c r="C112" s="78"/>
    </row>
    <row r="113" spans="1:3">
      <c r="A113" s="78" t="s">
        <v>739</v>
      </c>
      <c r="B113" s="78"/>
      <c r="C113" s="78"/>
    </row>
    <row r="114" spans="1:1">
      <c r="A114" t="s">
        <v>47</v>
      </c>
    </row>
    <row r="115" spans="1:3">
      <c r="A115" s="78" t="s">
        <v>740</v>
      </c>
      <c r="B115" s="78"/>
      <c r="C115" s="78"/>
    </row>
    <row r="116" spans="1:3">
      <c r="A116" s="78" t="s">
        <v>741</v>
      </c>
      <c r="B116" s="78"/>
      <c r="C116" s="78"/>
    </row>
    <row r="117" spans="1:3">
      <c r="A117" s="78" t="s">
        <v>742</v>
      </c>
      <c r="B117" s="78"/>
      <c r="C117" s="78"/>
    </row>
    <row r="118" spans="1:3">
      <c r="A118" s="78" t="s">
        <v>743</v>
      </c>
      <c r="B118" s="78"/>
      <c r="C118" s="78"/>
    </row>
    <row r="119" spans="1:3">
      <c r="A119" s="78" t="s">
        <v>744</v>
      </c>
      <c r="B119" s="78"/>
      <c r="C119" s="78"/>
    </row>
    <row r="120" spans="1:1">
      <c r="A120" t="s">
        <v>745</v>
      </c>
    </row>
    <row r="121" spans="1:3">
      <c r="A121" s="78" t="s">
        <v>746</v>
      </c>
      <c r="B121" s="78"/>
      <c r="C121" s="78"/>
    </row>
    <row r="122" spans="1:3">
      <c r="A122" s="78" t="s">
        <v>747</v>
      </c>
      <c r="B122" s="78"/>
      <c r="C122" s="78"/>
    </row>
    <row r="123" spans="1:3">
      <c r="A123" s="78" t="s">
        <v>748</v>
      </c>
      <c r="B123" s="78"/>
      <c r="C123" s="78"/>
    </row>
    <row r="124" spans="1:3">
      <c r="A124" s="78" t="s">
        <v>749</v>
      </c>
      <c r="B124" s="78"/>
      <c r="C124" s="78"/>
    </row>
    <row r="125" spans="1:3">
      <c r="A125" s="78" t="s">
        <v>750</v>
      </c>
      <c r="B125" s="78"/>
      <c r="C125" s="78"/>
    </row>
    <row r="127" spans="1:1">
      <c r="A127" t="s">
        <v>751</v>
      </c>
    </row>
    <row r="128" spans="1:3">
      <c r="A128" s="78" t="s">
        <v>752</v>
      </c>
      <c r="B128" s="78" t="s">
        <v>753</v>
      </c>
      <c r="C128" s="78" t="s">
        <v>754</v>
      </c>
    </row>
    <row r="129" spans="1:3">
      <c r="A129" s="78" t="s">
        <v>55</v>
      </c>
      <c r="B129" s="78" t="s">
        <v>755</v>
      </c>
      <c r="C129" s="78" t="s">
        <v>756</v>
      </c>
    </row>
    <row r="130" spans="1:3">
      <c r="A130" s="78" t="s">
        <v>76</v>
      </c>
      <c r="B130" s="78" t="s">
        <v>757</v>
      </c>
      <c r="C130" s="78" t="s">
        <v>758</v>
      </c>
    </row>
    <row r="131" spans="1:3">
      <c r="A131" s="78" t="s">
        <v>56</v>
      </c>
      <c r="B131" s="78" t="s">
        <v>759</v>
      </c>
      <c r="C131" s="78" t="s">
        <v>760</v>
      </c>
    </row>
    <row r="132" spans="1:3">
      <c r="A132" s="78" t="s">
        <v>77</v>
      </c>
      <c r="B132" s="78" t="s">
        <v>761</v>
      </c>
      <c r="C132" s="78" t="s">
        <v>762</v>
      </c>
    </row>
    <row r="133" spans="1:3">
      <c r="A133" s="78" t="s">
        <v>763</v>
      </c>
      <c r="B133" s="78" t="s">
        <v>764</v>
      </c>
      <c r="C133" s="78" t="s">
        <v>765</v>
      </c>
    </row>
    <row r="134" spans="1:1">
      <c r="A134" t="s">
        <v>766</v>
      </c>
    </row>
    <row r="135" spans="1:3">
      <c r="A135" s="78" t="s">
        <v>767</v>
      </c>
      <c r="B135" s="78" t="s">
        <v>768</v>
      </c>
      <c r="C135" s="78" t="s">
        <v>99</v>
      </c>
    </row>
    <row r="136" spans="1:3">
      <c r="A136" s="78" t="s">
        <v>769</v>
      </c>
      <c r="B136" s="78" t="s">
        <v>770</v>
      </c>
      <c r="C136" s="78" t="s">
        <v>771</v>
      </c>
    </row>
    <row r="137" spans="1:3">
      <c r="A137" s="78" t="s">
        <v>772</v>
      </c>
      <c r="B137" s="78" t="s">
        <v>773</v>
      </c>
      <c r="C137" s="78" t="s">
        <v>774</v>
      </c>
    </row>
    <row r="138" spans="1:3">
      <c r="A138" s="78" t="s">
        <v>775</v>
      </c>
      <c r="B138" s="78" t="s">
        <v>776</v>
      </c>
      <c r="C138" s="78" t="s">
        <v>777</v>
      </c>
    </row>
    <row r="139" spans="1:3">
      <c r="A139" s="78" t="s">
        <v>778</v>
      </c>
      <c r="B139" s="78" t="s">
        <v>779</v>
      </c>
      <c r="C139" s="78" t="s">
        <v>780</v>
      </c>
    </row>
    <row r="140" spans="1:3">
      <c r="A140" s="78" t="s">
        <v>781</v>
      </c>
      <c r="B140" s="78" t="s">
        <v>782</v>
      </c>
      <c r="C140" s="78" t="s">
        <v>783</v>
      </c>
    </row>
    <row r="141" spans="1:3">
      <c r="A141" s="78" t="s">
        <v>784</v>
      </c>
      <c r="B141" s="78" t="s">
        <v>785</v>
      </c>
      <c r="C141" s="78" t="s">
        <v>786</v>
      </c>
    </row>
    <row r="142" spans="1:3">
      <c r="A142" s="78" t="s">
        <v>787</v>
      </c>
      <c r="B142" s="78" t="s">
        <v>788</v>
      </c>
      <c r="C142" s="78" t="s">
        <v>789</v>
      </c>
    </row>
    <row r="143" spans="1:3">
      <c r="A143" s="78" t="s">
        <v>790</v>
      </c>
      <c r="B143" s="78" t="s">
        <v>791</v>
      </c>
      <c r="C143" s="78" t="s">
        <v>792</v>
      </c>
    </row>
    <row r="145" spans="1:1">
      <c r="A145" t="s">
        <v>793</v>
      </c>
    </row>
    <row r="146" spans="1:3">
      <c r="A146" s="78" t="s">
        <v>794</v>
      </c>
      <c r="B146" s="78"/>
      <c r="C146" s="78"/>
    </row>
    <row r="147" spans="1:3">
      <c r="A147" s="78" t="s">
        <v>795</v>
      </c>
      <c r="B147" s="78" t="s">
        <v>796</v>
      </c>
      <c r="C147" s="78" t="s">
        <v>797</v>
      </c>
    </row>
    <row r="148" spans="1:3">
      <c r="A148" s="78" t="s">
        <v>798</v>
      </c>
      <c r="B148" s="78" t="s">
        <v>799</v>
      </c>
      <c r="C148" s="78" t="s">
        <v>800</v>
      </c>
    </row>
    <row r="149" spans="1:3">
      <c r="A149" s="78" t="s">
        <v>801</v>
      </c>
      <c r="B149" s="78" t="s">
        <v>802</v>
      </c>
      <c r="C149" s="78" t="s">
        <v>803</v>
      </c>
    </row>
    <row r="150" spans="1:3">
      <c r="A150" s="78" t="s">
        <v>804</v>
      </c>
      <c r="B150" s="78" t="s">
        <v>805</v>
      </c>
      <c r="C150" s="78" t="s">
        <v>806</v>
      </c>
    </row>
    <row r="151" spans="1:3">
      <c r="A151" s="78" t="s">
        <v>807</v>
      </c>
      <c r="B151" s="78" t="s">
        <v>808</v>
      </c>
      <c r="C151" s="78" t="s">
        <v>809</v>
      </c>
    </row>
    <row r="152" spans="1:3">
      <c r="A152" s="78" t="s">
        <v>810</v>
      </c>
      <c r="B152" s="78" t="s">
        <v>811</v>
      </c>
      <c r="C152" s="78" t="s">
        <v>812</v>
      </c>
    </row>
    <row r="153" spans="1:3">
      <c r="A153" s="78" t="s">
        <v>813</v>
      </c>
      <c r="B153" s="78" t="s">
        <v>814</v>
      </c>
      <c r="C153" s="78" t="s">
        <v>815</v>
      </c>
    </row>
    <row r="154" spans="1:3">
      <c r="A154" s="78" t="s">
        <v>816</v>
      </c>
      <c r="B154" s="78" t="s">
        <v>817</v>
      </c>
      <c r="C154" s="78" t="s">
        <v>818</v>
      </c>
    </row>
    <row r="155" spans="1:3">
      <c r="A155" s="78" t="s">
        <v>819</v>
      </c>
      <c r="B155" s="78" t="s">
        <v>820</v>
      </c>
      <c r="C155" s="78" t="s">
        <v>821</v>
      </c>
    </row>
    <row r="156" spans="1:3">
      <c r="A156" s="78" t="s">
        <v>822</v>
      </c>
      <c r="B156" s="78" t="s">
        <v>823</v>
      </c>
      <c r="C156" s="78" t="s">
        <v>824</v>
      </c>
    </row>
    <row r="157" spans="1:3">
      <c r="A157" s="78" t="s">
        <v>825</v>
      </c>
      <c r="B157" s="78" t="s">
        <v>826</v>
      </c>
      <c r="C157" s="78" t="s">
        <v>827</v>
      </c>
    </row>
    <row r="158" spans="1:3">
      <c r="A158" s="78" t="s">
        <v>828</v>
      </c>
      <c r="B158" s="78" t="s">
        <v>829</v>
      </c>
      <c r="C158" s="78" t="s">
        <v>830</v>
      </c>
    </row>
    <row r="159" spans="1:3">
      <c r="A159" s="78" t="s">
        <v>831</v>
      </c>
      <c r="B159" s="78" t="s">
        <v>832</v>
      </c>
      <c r="C159" s="78" t="s">
        <v>833</v>
      </c>
    </row>
    <row r="160" spans="1:3">
      <c r="A160" s="78" t="s">
        <v>834</v>
      </c>
      <c r="B160" s="78" t="s">
        <v>835</v>
      </c>
      <c r="C160" s="78" t="s">
        <v>836</v>
      </c>
    </row>
    <row r="161" spans="1:3">
      <c r="A161" s="78" t="s">
        <v>837</v>
      </c>
      <c r="B161" s="78" t="s">
        <v>838</v>
      </c>
      <c r="C161" s="78" t="s">
        <v>839</v>
      </c>
    </row>
    <row r="162" spans="1:3">
      <c r="A162" s="78" t="s">
        <v>840</v>
      </c>
      <c r="B162" s="78" t="s">
        <v>841</v>
      </c>
      <c r="C162" s="78" t="s">
        <v>842</v>
      </c>
    </row>
    <row r="163" spans="1:3">
      <c r="A163" s="78" t="s">
        <v>843</v>
      </c>
      <c r="B163" s="78" t="s">
        <v>844</v>
      </c>
      <c r="C163" s="78" t="s">
        <v>845</v>
      </c>
    </row>
    <row r="164" spans="1:1">
      <c r="A164" t="s">
        <v>846</v>
      </c>
    </row>
    <row r="166" spans="1:1">
      <c r="A166" t="s">
        <v>847</v>
      </c>
    </row>
    <row r="167" spans="1:1">
      <c r="A167" t="s">
        <v>848</v>
      </c>
    </row>
    <row r="168" spans="1:3">
      <c r="A168" s="78" t="s">
        <v>849</v>
      </c>
      <c r="B168" s="78" t="s">
        <v>37</v>
      </c>
      <c r="C168" s="78" t="s">
        <v>796</v>
      </c>
    </row>
    <row r="169" spans="1:3">
      <c r="A169" s="78" t="s">
        <v>755</v>
      </c>
      <c r="B169" s="78" t="s">
        <v>55</v>
      </c>
      <c r="C169" s="78" t="s">
        <v>850</v>
      </c>
    </row>
    <row r="170" spans="1:3">
      <c r="A170" s="78" t="s">
        <v>851</v>
      </c>
      <c r="B170" s="78" t="s">
        <v>69</v>
      </c>
      <c r="C170" s="78" t="s">
        <v>852</v>
      </c>
    </row>
    <row r="171" spans="1:3">
      <c r="A171" s="78" t="s">
        <v>757</v>
      </c>
      <c r="B171" s="78" t="s">
        <v>76</v>
      </c>
      <c r="C171" s="78" t="s">
        <v>853</v>
      </c>
    </row>
    <row r="172" spans="1:3">
      <c r="A172" s="78" t="s">
        <v>854</v>
      </c>
      <c r="B172" s="78" t="s">
        <v>80</v>
      </c>
      <c r="C172" s="78" t="s">
        <v>855</v>
      </c>
    </row>
    <row r="173" spans="1:3">
      <c r="A173" s="78" t="s">
        <v>759</v>
      </c>
      <c r="B173" s="78" t="s">
        <v>56</v>
      </c>
      <c r="C173" s="78" t="s">
        <v>856</v>
      </c>
    </row>
    <row r="174" spans="1:3">
      <c r="A174" s="78" t="s">
        <v>857</v>
      </c>
      <c r="B174" s="78" t="s">
        <v>70</v>
      </c>
      <c r="C174" s="78" t="s">
        <v>858</v>
      </c>
    </row>
    <row r="175" spans="1:3">
      <c r="A175" s="78" t="s">
        <v>761</v>
      </c>
      <c r="B175" s="78" t="s">
        <v>77</v>
      </c>
      <c r="C175" s="78" t="s">
        <v>859</v>
      </c>
    </row>
    <row r="176" spans="1:3">
      <c r="A176" s="78" t="s">
        <v>860</v>
      </c>
      <c r="B176" s="78" t="s">
        <v>81</v>
      </c>
      <c r="C176" s="78" t="s">
        <v>861</v>
      </c>
    </row>
    <row r="177" spans="1:3">
      <c r="A177" s="78" t="s">
        <v>862</v>
      </c>
      <c r="B177" s="78" t="s">
        <v>78</v>
      </c>
      <c r="C177" s="78" t="s">
        <v>863</v>
      </c>
    </row>
    <row r="178" spans="1:3">
      <c r="A178" s="78" t="s">
        <v>864</v>
      </c>
      <c r="B178" s="78" t="s">
        <v>57</v>
      </c>
      <c r="C178" s="78" t="s">
        <v>865</v>
      </c>
    </row>
    <row r="179" spans="1:3">
      <c r="A179" s="78" t="s">
        <v>866</v>
      </c>
      <c r="B179" s="78" t="s">
        <v>867</v>
      </c>
      <c r="C179" s="78" t="s">
        <v>868</v>
      </c>
    </row>
    <row r="180" spans="1:1">
      <c r="A180" t="s">
        <v>869</v>
      </c>
    </row>
    <row r="182" spans="1:1">
      <c r="A182" t="s">
        <v>870</v>
      </c>
    </row>
    <row r="183" spans="1:1">
      <c r="A183" t="s">
        <v>47</v>
      </c>
    </row>
    <row r="184" spans="1:1">
      <c r="A184" t="s">
        <v>871</v>
      </c>
    </row>
    <row r="185" spans="1:1">
      <c r="A185" t="s">
        <v>872</v>
      </c>
    </row>
    <row r="186" spans="1:1">
      <c r="A186" t="s">
        <v>873</v>
      </c>
    </row>
    <row r="187" spans="1:1">
      <c r="A187" t="s">
        <v>874</v>
      </c>
    </row>
    <row r="188" spans="1:1">
      <c r="A188" t="s">
        <v>874</v>
      </c>
    </row>
    <row r="189" spans="1:1">
      <c r="A189" t="s">
        <v>874</v>
      </c>
    </row>
    <row r="190" spans="1:1">
      <c r="A190" t="s">
        <v>874</v>
      </c>
    </row>
    <row r="191" spans="1:1">
      <c r="A191" t="s">
        <v>875</v>
      </c>
    </row>
    <row r="192" spans="1:1">
      <c r="A192" t="s">
        <v>876</v>
      </c>
    </row>
    <row r="193" spans="1:1">
      <c r="A193" t="s">
        <v>875</v>
      </c>
    </row>
    <row r="194" spans="1:1">
      <c r="A194" t="s">
        <v>877</v>
      </c>
    </row>
    <row r="195" spans="1:1">
      <c r="A195" t="s">
        <v>875</v>
      </c>
    </row>
    <row r="196" spans="1:1">
      <c r="A196" t="s">
        <v>878</v>
      </c>
    </row>
    <row r="197" spans="1:1">
      <c r="A197" t="s">
        <v>875</v>
      </c>
    </row>
    <row r="198" spans="1:1">
      <c r="A198" t="s">
        <v>879</v>
      </c>
    </row>
    <row r="199" spans="1:1">
      <c r="A199" t="s">
        <v>875</v>
      </c>
    </row>
    <row r="200" spans="1:1">
      <c r="A200" t="s">
        <v>880</v>
      </c>
    </row>
    <row r="201" spans="1:1">
      <c r="A201" t="s">
        <v>881</v>
      </c>
    </row>
    <row r="202" spans="1:1">
      <c r="A202" t="s">
        <v>882</v>
      </c>
    </row>
    <row r="203" spans="1:1">
      <c r="A203" t="s">
        <v>883</v>
      </c>
    </row>
    <row r="204" spans="1:1">
      <c r="A204" t="s">
        <v>884</v>
      </c>
    </row>
    <row r="207" spans="1:1">
      <c r="A207" t="s">
        <v>885</v>
      </c>
    </row>
    <row r="208" spans="1:1">
      <c r="A208" t="s">
        <v>886</v>
      </c>
    </row>
    <row r="209" spans="1:1">
      <c r="A209" t="s">
        <v>887</v>
      </c>
    </row>
    <row r="210" spans="1:1">
      <c r="A210" t="s">
        <v>888</v>
      </c>
    </row>
    <row r="211" spans="1:1">
      <c r="A211" t="s">
        <v>889</v>
      </c>
    </row>
    <row r="212" spans="1:1">
      <c r="A212" t="s">
        <v>890</v>
      </c>
    </row>
    <row r="213" spans="1:1">
      <c r="A213" t="s">
        <v>891</v>
      </c>
    </row>
    <row r="214" spans="1:1">
      <c r="A214" t="s">
        <v>887</v>
      </c>
    </row>
    <row r="215" spans="1:1">
      <c r="A215" t="s">
        <v>892</v>
      </c>
    </row>
    <row r="216" spans="1:1">
      <c r="A216" t="s">
        <v>893</v>
      </c>
    </row>
    <row r="217" spans="1:1">
      <c r="A217" t="s">
        <v>894</v>
      </c>
    </row>
    <row r="218" spans="1:1">
      <c r="A218" t="s">
        <v>895</v>
      </c>
    </row>
    <row r="220" spans="1:1">
      <c r="A220" t="s">
        <v>896</v>
      </c>
    </row>
    <row r="221" spans="1:1">
      <c r="A221" t="s">
        <v>897</v>
      </c>
    </row>
    <row r="222" spans="1:1">
      <c r="A222" t="s">
        <v>898</v>
      </c>
    </row>
    <row r="223" spans="1:1">
      <c r="A223" t="s">
        <v>899</v>
      </c>
    </row>
  </sheetData>
  <mergeCells count="21">
    <mergeCell ref="D7:K7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109:C109"/>
    <mergeCell ref="A33:A35"/>
    <mergeCell ref="A36:A37"/>
    <mergeCell ref="B33:B35"/>
    <mergeCell ref="B36:B37"/>
    <mergeCell ref="C33:C35"/>
    <mergeCell ref="C36:C3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2"/>
  <sheetViews>
    <sheetView workbookViewId="0">
      <pane ySplit="3" topLeftCell="A96" activePane="bottomLeft" state="frozen"/>
      <selection/>
      <selection pane="bottomLeft" activeCell="E22" sqref="E22:AB22"/>
    </sheetView>
  </sheetViews>
  <sheetFormatPr defaultColWidth="9.23076923076923" defaultRowHeight="16.8"/>
  <cols>
    <col min="2" max="2" width="4.48076923076923" style="8" customWidth="1"/>
    <col min="3" max="3" width="17.4711538461538" style="1" customWidth="1"/>
    <col min="4" max="4" width="7.36538461538461" style="9" customWidth="1"/>
    <col min="5" max="13" width="4.69230769230769" customWidth="1"/>
    <col min="14" max="18" width="6.69230769230769" customWidth="1"/>
    <col min="20" max="20" width="8.17307692307692" customWidth="1"/>
    <col min="21" max="21" width="11.0480769230769" customWidth="1"/>
    <col min="22" max="22" width="8.48076923076923" customWidth="1"/>
    <col min="23" max="23" width="6.69230769230769" customWidth="1"/>
    <col min="24" max="26" width="4.69230769230769" customWidth="1"/>
    <col min="27" max="28" width="4.69230769230769" style="1" customWidth="1"/>
    <col min="29" max="29" width="9.23076923076923" style="1"/>
  </cols>
  <sheetData>
    <row r="1" ht="37" customHeight="1" spans="1:26">
      <c r="A1" s="10" t="s">
        <v>900</v>
      </c>
      <c r="B1" s="9"/>
      <c r="C1" s="1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" customHeight="1" spans="1:28">
      <c r="A2" s="12"/>
      <c r="B2" s="13"/>
      <c r="C2" s="12"/>
      <c r="D2" s="13"/>
      <c r="E2" s="14">
        <f>COLUMN()-3</f>
        <v>2</v>
      </c>
      <c r="F2" s="14">
        <f t="shared" ref="F2:O2" si="0">COLUMN()-3</f>
        <v>3</v>
      </c>
      <c r="G2" s="14">
        <f t="shared" si="0"/>
        <v>4</v>
      </c>
      <c r="H2" s="14">
        <f t="shared" si="0"/>
        <v>5</v>
      </c>
      <c r="I2" s="14">
        <f t="shared" si="0"/>
        <v>6</v>
      </c>
      <c r="J2" s="14">
        <f t="shared" si="0"/>
        <v>7</v>
      </c>
      <c r="K2" s="14">
        <f t="shared" si="0"/>
        <v>8</v>
      </c>
      <c r="L2" s="14">
        <f t="shared" si="0"/>
        <v>9</v>
      </c>
      <c r="M2" s="14">
        <f t="shared" si="0"/>
        <v>10</v>
      </c>
      <c r="N2" s="14">
        <f t="shared" si="0"/>
        <v>11</v>
      </c>
      <c r="O2" s="14">
        <f t="shared" si="0"/>
        <v>12</v>
      </c>
      <c r="P2" s="14">
        <f t="shared" ref="P2:Z2" si="1">COLUMN()-3</f>
        <v>13</v>
      </c>
      <c r="Q2" s="14">
        <f t="shared" si="1"/>
        <v>14</v>
      </c>
      <c r="R2" s="14">
        <f t="shared" si="1"/>
        <v>15</v>
      </c>
      <c r="S2" s="14">
        <f t="shared" si="1"/>
        <v>16</v>
      </c>
      <c r="T2" s="14">
        <f t="shared" si="1"/>
        <v>17</v>
      </c>
      <c r="U2" s="14">
        <f t="shared" si="1"/>
        <v>18</v>
      </c>
      <c r="V2" s="14">
        <f t="shared" si="1"/>
        <v>19</v>
      </c>
      <c r="W2" s="14">
        <f t="shared" si="1"/>
        <v>20</v>
      </c>
      <c r="X2" s="14">
        <f t="shared" si="1"/>
        <v>21</v>
      </c>
      <c r="Y2" s="14">
        <f t="shared" si="1"/>
        <v>22</v>
      </c>
      <c r="Z2" s="14">
        <f t="shared" si="1"/>
        <v>23</v>
      </c>
      <c r="AA2" s="14">
        <f>COLUMN()-3</f>
        <v>24</v>
      </c>
      <c r="AB2" s="14">
        <f>COLUMN()-3</f>
        <v>25</v>
      </c>
    </row>
    <row r="3" ht="20" customHeight="1" spans="1:28">
      <c r="A3" s="14" t="s">
        <v>901</v>
      </c>
      <c r="B3" s="15"/>
      <c r="C3" s="14" t="s">
        <v>902</v>
      </c>
      <c r="D3" s="15"/>
      <c r="E3" s="25" t="s">
        <v>903</v>
      </c>
      <c r="F3" s="25" t="s">
        <v>54</v>
      </c>
      <c r="G3" s="25" t="s">
        <v>58</v>
      </c>
      <c r="H3" s="25" t="s">
        <v>60</v>
      </c>
      <c r="I3" s="25" t="s">
        <v>62</v>
      </c>
      <c r="J3" s="25" t="s">
        <v>64</v>
      </c>
      <c r="K3" s="25" t="s">
        <v>65</v>
      </c>
      <c r="L3" s="25" t="s">
        <v>66</v>
      </c>
      <c r="M3" s="25" t="s">
        <v>67</v>
      </c>
      <c r="N3" t="s">
        <v>904</v>
      </c>
      <c r="O3" s="25" t="s">
        <v>905</v>
      </c>
      <c r="P3" s="25" t="s">
        <v>906</v>
      </c>
      <c r="Q3" s="25" t="s">
        <v>907</v>
      </c>
      <c r="R3" s="25" t="s">
        <v>908</v>
      </c>
      <c r="S3" s="25" t="s">
        <v>909</v>
      </c>
      <c r="T3" s="25" t="s">
        <v>910</v>
      </c>
      <c r="U3" s="25" t="s">
        <v>911</v>
      </c>
      <c r="V3" s="25" t="s">
        <v>912</v>
      </c>
      <c r="W3" s="25" t="s">
        <v>913</v>
      </c>
      <c r="X3" s="25" t="s">
        <v>914</v>
      </c>
      <c r="Y3" s="25" t="s">
        <v>915</v>
      </c>
      <c r="Z3" s="25" t="s">
        <v>916</v>
      </c>
      <c r="AA3" s="25" t="s">
        <v>917</v>
      </c>
      <c r="AB3" s="25" t="s">
        <v>918</v>
      </c>
    </row>
    <row r="4" ht="20" customHeight="1" spans="1:29">
      <c r="A4" s="16">
        <v>0</v>
      </c>
      <c r="B4" s="15">
        <f>ROW()-4</f>
        <v>0</v>
      </c>
      <c r="C4" s="17" t="s">
        <v>919</v>
      </c>
      <c r="D4" s="18" t="str">
        <f>DEC2HEX(B4)</f>
        <v>0</v>
      </c>
      <c r="E4" s="41" t="str">
        <f>_xlfn.IFNA(VLOOKUP($C4&amp;","&amp;E3,$C$69:$D$112,2,FALSE),"-1")</f>
        <v>-1</v>
      </c>
      <c r="F4" s="42" t="str">
        <f>_xlfn.IFNA(VLOOKUP($C4&amp;","&amp;F3,$C$69:$D$112,2,FALSE),"-1")</f>
        <v>-1</v>
      </c>
      <c r="G4" s="42" t="str">
        <f>_xlfn.IFNA(VLOOKUP($C4&amp;","&amp;G3,$C$69:$D$112,2,FALSE),"-1")</f>
        <v>-1</v>
      </c>
      <c r="H4" s="42" t="str">
        <f>_xlfn.IFNA(VLOOKUP($C4&amp;","&amp;H3,$C$69:$D$112,2,FALSE),"-1")</f>
        <v>-1</v>
      </c>
      <c r="I4" s="42" t="str">
        <f>_xlfn.IFNA(VLOOKUP($C4&amp;","&amp;I3,$C$69:$D$112,2,FALSE),"-1")</f>
        <v>-1</v>
      </c>
      <c r="J4" s="42" t="str">
        <f>_xlfn.IFNA(VLOOKUP($C4&amp;","&amp;J3,$C$69:$D$112,2,FALSE),"-1")</f>
        <v>-1</v>
      </c>
      <c r="K4" s="42" t="str">
        <f>_xlfn.IFNA(VLOOKUP($C4&amp;","&amp;K3,$C$69:$D$112,2,FALSE),"-1")</f>
        <v>-1</v>
      </c>
      <c r="L4" s="42" t="str">
        <f>_xlfn.IFNA(VLOOKUP($C4&amp;","&amp;L3,$C$69:$D$112,2,FALSE),"-1")</f>
        <v>-1</v>
      </c>
      <c r="M4" s="42" t="str">
        <f>_xlfn.IFNA(VLOOKUP($C4&amp;","&amp;M3,$C$69:$D$112,2,FALSE),"-1")</f>
        <v>-1</v>
      </c>
      <c r="N4" s="42" t="str">
        <f>_xlfn.IFNA(VLOOKUP($C4&amp;","&amp;N3,$C$69:$D$112,2,FALSE),"-1")</f>
        <v>-1</v>
      </c>
      <c r="O4" s="42" t="str">
        <f>_xlfn.IFNA(VLOOKUP($C4&amp;","&amp;O3,$C$69:$D$112,2,FALSE),"-1")</f>
        <v>-1</v>
      </c>
      <c r="P4" s="42" t="str">
        <f>_xlfn.IFNA(VLOOKUP($C4&amp;","&amp;P3,$C$69:$D$112,2,FALSE),"-1")</f>
        <v>-1</v>
      </c>
      <c r="Q4" s="42" t="str">
        <f>_xlfn.IFNA(VLOOKUP($C4&amp;","&amp;Q3,$C$69:$D$112,2,FALSE),"-1")</f>
        <v>-1</v>
      </c>
      <c r="R4" s="42" t="str">
        <f>_xlfn.IFNA(VLOOKUP($C4&amp;","&amp;R3,$C$69:$D$112,2,FALSE),"-1")</f>
        <v>-1</v>
      </c>
      <c r="S4" s="42" t="str">
        <f>_xlfn.IFNA(VLOOKUP($C4&amp;","&amp;S3,$C$69:$D$112,2,FALSE),"-1")</f>
        <v>-1</v>
      </c>
      <c r="T4" s="42" t="str">
        <f>_xlfn.IFNA(VLOOKUP($C4&amp;","&amp;T3,$C$69:$D$112,2,FALSE),"-1")</f>
        <v>-1</v>
      </c>
      <c r="U4" s="42" t="str">
        <f>_xlfn.IFNA(VLOOKUP($C4&amp;","&amp;U3,$C$69:$D$112,2,FALSE),"-1")</f>
        <v>-1</v>
      </c>
      <c r="V4" s="42" t="str">
        <f>_xlfn.IFNA(VLOOKUP($C4&amp;","&amp;V3,$C$69:$D$112,2,FALSE),"-1")</f>
        <v>-1</v>
      </c>
      <c r="W4" s="42" t="str">
        <f>_xlfn.IFNA(VLOOKUP($C4&amp;","&amp;W3,$C$69:$D$112,2,FALSE),"-1")</f>
        <v>-1</v>
      </c>
      <c r="X4" s="42" t="str">
        <f>_xlfn.IFNA(VLOOKUP($C4&amp;","&amp;X3,$C$69:$D$112,2,FALSE),"-1")</f>
        <v>-1</v>
      </c>
      <c r="Y4" s="42" t="str">
        <f>_xlfn.IFNA(VLOOKUP($C4&amp;","&amp;Y3,$C$69:$D$112,2,FALSE),"-1")</f>
        <v>-1</v>
      </c>
      <c r="Z4" s="42" t="str">
        <f>_xlfn.IFNA(VLOOKUP($C4&amp;","&amp;Z3,$C$69:$D$112,2,FALSE),"-1")</f>
        <v>-1</v>
      </c>
      <c r="AA4" s="42" t="str">
        <f>_xlfn.IFNA(VLOOKUP($C4&amp;","&amp;AA3,$C$69:$D$112,2,FALSE),"-1")</f>
        <v>-1</v>
      </c>
      <c r="AB4" s="48" t="str">
        <f>_xlfn.IFNA(VLOOKUP($C4&amp;","&amp;AB3,$C$69:$D$112,2,FALSE),"-1")</f>
        <v>-1</v>
      </c>
      <c r="AC4" s="1">
        <v>0</v>
      </c>
    </row>
    <row r="5" ht="20" customHeight="1" spans="1:29">
      <c r="A5" s="16">
        <v>0</v>
      </c>
      <c r="B5" s="15">
        <f t="shared" ref="B5:B17" si="2">ROW()-4</f>
        <v>1</v>
      </c>
      <c r="C5" s="17" t="s">
        <v>920</v>
      </c>
      <c r="D5" s="18" t="str">
        <f t="shared" ref="D5:D22" si="3">DEC2HEX(B5)</f>
        <v>1</v>
      </c>
      <c r="E5" s="43" t="str">
        <f>_xlfn.IFNA(VLOOKUP($C5&amp;","&amp;E3,$C$69:$D$112,2,FALSE),"-1")</f>
        <v>-1</v>
      </c>
      <c r="F5" s="26" t="str">
        <f>_xlfn.IFNA(VLOOKUP($C5&amp;","&amp;F3,$C$69:$D$112,2,FALSE),"-1")</f>
        <v>-1</v>
      </c>
      <c r="G5" s="26" t="str">
        <f>_xlfn.IFNA(VLOOKUP($C5&amp;","&amp;G3,$C$69:$D$112,2,FALSE),"-1")</f>
        <v>-1</v>
      </c>
      <c r="H5" s="26" t="str">
        <f>_xlfn.IFNA(VLOOKUP($C5&amp;","&amp;H3,$C$69:$D$112,2,FALSE),"-1")</f>
        <v>-1</v>
      </c>
      <c r="I5" s="26" t="str">
        <f>_xlfn.IFNA(VLOOKUP($C5&amp;","&amp;I3,$C$69:$D$112,2,FALSE),"-1")</f>
        <v>-1</v>
      </c>
      <c r="J5" s="26" t="str">
        <f>_xlfn.IFNA(VLOOKUP($C5&amp;","&amp;J3,$C$69:$D$112,2,FALSE),"-1")</f>
        <v>-1</v>
      </c>
      <c r="K5" s="26" t="str">
        <f>_xlfn.IFNA(VLOOKUP($C5&amp;","&amp;K3,$C$69:$D$112,2,FALSE),"-1")</f>
        <v>-1</v>
      </c>
      <c r="L5" s="26" t="str">
        <f>_xlfn.IFNA(VLOOKUP($C5&amp;","&amp;L3,$C$69:$D$112,2,FALSE),"-1")</f>
        <v>-1</v>
      </c>
      <c r="M5" s="26" t="str">
        <f>_xlfn.IFNA(VLOOKUP($C5&amp;","&amp;M3,$C$69:$D$112,2,FALSE),"-1")</f>
        <v>-1</v>
      </c>
      <c r="N5" s="26" t="str">
        <f>_xlfn.IFNA(VLOOKUP($C5&amp;","&amp;N3,$C$69:$D$112,2,FALSE),"-1")</f>
        <v>-1</v>
      </c>
      <c r="O5" s="26" t="str">
        <f>_xlfn.IFNA(VLOOKUP($C5&amp;","&amp;O3,$C$69:$D$112,2,FALSE),"-1")</f>
        <v>-1</v>
      </c>
      <c r="P5" s="26" t="str">
        <f>_xlfn.IFNA(VLOOKUP($C5&amp;","&amp;P3,$C$69:$D$112,2,FALSE),"-1")</f>
        <v>-1</v>
      </c>
      <c r="Q5" s="26" t="str">
        <f>_xlfn.IFNA(VLOOKUP($C5&amp;","&amp;Q3,$C$69:$D$112,2,FALSE),"-1")</f>
        <v>-1</v>
      </c>
      <c r="R5" s="26" t="str">
        <f>_xlfn.IFNA(VLOOKUP($C5&amp;","&amp;R3,$C$69:$D$112,2,FALSE),"-1")</f>
        <v>-1</v>
      </c>
      <c r="S5" s="26" t="str">
        <f>_xlfn.IFNA(VLOOKUP($C5&amp;","&amp;S3,$C$69:$D$112,2,FALSE),"-1")</f>
        <v>-1</v>
      </c>
      <c r="T5" s="26" t="str">
        <f>_xlfn.IFNA(VLOOKUP($C5&amp;","&amp;T3,$C$69:$D$112,2,FALSE),"-1")</f>
        <v>-1</v>
      </c>
      <c r="U5" s="26" t="str">
        <f>_xlfn.IFNA(VLOOKUP($C5&amp;","&amp;U3,$C$69:$D$112,2,FALSE),"-1")</f>
        <v>-1</v>
      </c>
      <c r="V5" s="26" t="str">
        <f>_xlfn.IFNA(VLOOKUP($C5&amp;","&amp;V3,$C$69:$D$112,2,FALSE),"-1")</f>
        <v>-1</v>
      </c>
      <c r="W5" s="26" t="str">
        <f>_xlfn.IFNA(VLOOKUP($C5&amp;","&amp;W3,$C$69:$D$112,2,FALSE),"-1")</f>
        <v>-1</v>
      </c>
      <c r="X5" s="26" t="str">
        <f>_xlfn.IFNA(VLOOKUP($C5&amp;","&amp;X3,$C$69:$D$112,2,FALSE),"-1")</f>
        <v>-1</v>
      </c>
      <c r="Y5" s="26" t="str">
        <f>_xlfn.IFNA(VLOOKUP($C5&amp;","&amp;Y3,$C$69:$D$112,2,FALSE),"-1")</f>
        <v>-1</v>
      </c>
      <c r="Z5" s="26" t="str">
        <f>_xlfn.IFNA(VLOOKUP($C5&amp;","&amp;Z3,$C$69:$D$112,2,FALSE),"-1")</f>
        <v>-1</v>
      </c>
      <c r="AA5" s="26" t="str">
        <f>_xlfn.IFNA(VLOOKUP($C5&amp;","&amp;AA3,$C$69:$D$112,2,FALSE),"-1")</f>
        <v>-1</v>
      </c>
      <c r="AB5" s="49" t="str">
        <f>_xlfn.IFNA(VLOOKUP($C5&amp;","&amp;AB3,$C$69:$D$112,2,FALSE),"-1")</f>
        <v>-1</v>
      </c>
      <c r="AC5" s="1">
        <v>22</v>
      </c>
    </row>
    <row r="6" ht="20" customHeight="1" spans="1:29">
      <c r="A6" s="16">
        <v>0</v>
      </c>
      <c r="B6" s="15">
        <f t="shared" si="2"/>
        <v>2</v>
      </c>
      <c r="C6" s="17" t="s">
        <v>921</v>
      </c>
      <c r="D6" s="18" t="str">
        <f t="shared" si="3"/>
        <v>2</v>
      </c>
      <c r="E6" s="43" t="str">
        <f>_xlfn.IFNA(VLOOKUP($C6&amp;","&amp;E3,$C$69:$D$112,2,FALSE),"-1")</f>
        <v>-1</v>
      </c>
      <c r="F6" s="26" t="str">
        <f>_xlfn.IFNA(VLOOKUP($C6&amp;","&amp;F3,$C$69:$D$112,2,FALSE),"-1")</f>
        <v>-1</v>
      </c>
      <c r="G6" s="26" t="str">
        <f>_xlfn.IFNA(VLOOKUP($C6&amp;","&amp;G3,$C$69:$D$112,2,FALSE),"-1")</f>
        <v>-1</v>
      </c>
      <c r="H6" s="26" t="str">
        <f>_xlfn.IFNA(VLOOKUP($C6&amp;","&amp;H3,$C$69:$D$112,2,FALSE),"-1")</f>
        <v>-1</v>
      </c>
      <c r="I6" s="26" t="str">
        <f>_xlfn.IFNA(VLOOKUP($C6&amp;","&amp;I3,$C$69:$D$112,2,FALSE),"-1")</f>
        <v>-1</v>
      </c>
      <c r="J6" s="26" t="str">
        <f>_xlfn.IFNA(VLOOKUP($C6&amp;","&amp;J3,$C$69:$D$112,2,FALSE),"-1")</f>
        <v>-1</v>
      </c>
      <c r="K6" s="26" t="str">
        <f>_xlfn.IFNA(VLOOKUP($C6&amp;","&amp;K3,$C$69:$D$112,2,FALSE),"-1")</f>
        <v>-1</v>
      </c>
      <c r="L6" s="26" t="str">
        <f>_xlfn.IFNA(VLOOKUP($C6&amp;","&amp;L3,$C$69:$D$112,2,FALSE),"-1")</f>
        <v>-1</v>
      </c>
      <c r="M6" s="26" t="str">
        <f>_xlfn.IFNA(VLOOKUP($C6&amp;","&amp;M3,$C$69:$D$112,2,FALSE),"-1")</f>
        <v>-1</v>
      </c>
      <c r="N6" s="26" t="str">
        <f>_xlfn.IFNA(VLOOKUP($C6&amp;","&amp;N3,$C$69:$D$112,2,FALSE),"-1")</f>
        <v>-1</v>
      </c>
      <c r="O6" s="26" t="str">
        <f>_xlfn.IFNA(VLOOKUP($C6&amp;","&amp;O3,$C$69:$D$112,2,FALSE),"-1")</f>
        <v>-1</v>
      </c>
      <c r="P6" s="26" t="str">
        <f>_xlfn.IFNA(VLOOKUP($C6&amp;","&amp;P3,$C$69:$D$112,2,FALSE),"-1")</f>
        <v>-1</v>
      </c>
      <c r="Q6" s="26" t="str">
        <f>_xlfn.IFNA(VLOOKUP($C6&amp;","&amp;Q3,$C$69:$D$112,2,FALSE),"-1")</f>
        <v>-1</v>
      </c>
      <c r="R6" s="26" t="str">
        <f>_xlfn.IFNA(VLOOKUP($C6&amp;","&amp;R3,$C$69:$D$112,2,FALSE),"-1")</f>
        <v>-1</v>
      </c>
      <c r="S6" s="26" t="str">
        <f>_xlfn.IFNA(VLOOKUP($C6&amp;","&amp;S3,$C$69:$D$112,2,FALSE),"-1")</f>
        <v>-1</v>
      </c>
      <c r="T6" s="26" t="str">
        <f>_xlfn.IFNA(VLOOKUP($C6&amp;","&amp;T3,$C$69:$D$112,2,FALSE),"-1")</f>
        <v>-1</v>
      </c>
      <c r="U6" s="26" t="str">
        <f>_xlfn.IFNA(VLOOKUP($C6&amp;","&amp;U3,$C$69:$D$112,2,FALSE),"-1")</f>
        <v>-1</v>
      </c>
      <c r="V6" s="26" t="str">
        <f>_xlfn.IFNA(VLOOKUP($C6&amp;","&amp;V3,$C$69:$D$112,2,FALSE),"-1")</f>
        <v>-1</v>
      </c>
      <c r="W6" s="26" t="str">
        <f>_xlfn.IFNA(VLOOKUP($C6&amp;","&amp;W3,$C$69:$D$112,2,FALSE),"-1")</f>
        <v>-1</v>
      </c>
      <c r="X6" s="26" t="str">
        <f>_xlfn.IFNA(VLOOKUP($C6&amp;","&amp;X3,$C$69:$D$112,2,FALSE),"-1")</f>
        <v>-1</v>
      </c>
      <c r="Y6" s="26" t="str">
        <f>_xlfn.IFNA(VLOOKUP($C6&amp;","&amp;Y3,$C$69:$D$112,2,FALSE),"-1")</f>
        <v>-1</v>
      </c>
      <c r="Z6" s="26" t="str">
        <f>_xlfn.IFNA(VLOOKUP($C6&amp;","&amp;Z3,$C$69:$D$112,2,FALSE),"-1")</f>
        <v>-1</v>
      </c>
      <c r="AA6" s="26" t="str">
        <f>_xlfn.IFNA(VLOOKUP($C6&amp;","&amp;AA3,$C$69:$D$112,2,FALSE),"-1")</f>
        <v>-1</v>
      </c>
      <c r="AB6" s="49" t="str">
        <f>_xlfn.IFNA(VLOOKUP($C6&amp;","&amp;AB3,$C$69:$D$112,2,FALSE),"-1")</f>
        <v>-1</v>
      </c>
      <c r="AC6" s="1">
        <v>32</v>
      </c>
    </row>
    <row r="7" ht="20" customHeight="1" spans="1:28">
      <c r="A7" s="16">
        <v>2</v>
      </c>
      <c r="B7" s="15">
        <f t="shared" si="2"/>
        <v>3</v>
      </c>
      <c r="C7" s="19" t="s">
        <v>922</v>
      </c>
      <c r="D7" s="18" t="str">
        <f t="shared" si="3"/>
        <v>3</v>
      </c>
      <c r="E7" s="43" t="str">
        <f>_xlfn.IFNA(VLOOKUP($C7&amp;","&amp;E3,$C$34:$D$112,2,FALSE),"-1")</f>
        <v>35</v>
      </c>
      <c r="F7" s="27" t="str">
        <f>_xlfn.IFNA(VLOOKUP($C7&amp;","&amp;F3,$C$34:$D$112,2,FALSE),"-1")</f>
        <v>-1</v>
      </c>
      <c r="G7" s="27" t="str">
        <f>_xlfn.IFNA(VLOOKUP($C7&amp;","&amp;G3,$C$34:$D$112,2,FALSE),"-1")</f>
        <v>-1</v>
      </c>
      <c r="H7" s="27" t="str">
        <f>_xlfn.IFNA(VLOOKUP($C7&amp;","&amp;H3,$C$34:$D$112,2,FALSE),"-1")</f>
        <v>-1</v>
      </c>
      <c r="I7" s="27" t="str">
        <f>_xlfn.IFNA(VLOOKUP($C7&amp;","&amp;I3,$C$34:$D$112,2,FALSE),"-1")</f>
        <v>-1</v>
      </c>
      <c r="J7" s="27" t="str">
        <f>_xlfn.IFNA(VLOOKUP($C7&amp;","&amp;J3,$C$34:$D$112,2,FALSE),"-1")</f>
        <v>-1</v>
      </c>
      <c r="K7" s="27" t="str">
        <f>_xlfn.IFNA(VLOOKUP($C7&amp;","&amp;K3,$C$34:$D$112,2,FALSE),"-1")</f>
        <v>-1</v>
      </c>
      <c r="L7" s="27" t="str">
        <f>_xlfn.IFNA(VLOOKUP($C7&amp;","&amp;L3,$C$34:$D$112,2,FALSE),"-1")</f>
        <v>-1</v>
      </c>
      <c r="M7" s="27" t="str">
        <f>_xlfn.IFNA(VLOOKUP($C7&amp;","&amp;M3,$C$34:$D$112,2,FALSE),"-1")</f>
        <v>-1</v>
      </c>
      <c r="N7" s="27" t="str">
        <f>_xlfn.IFNA(VLOOKUP($C7&amp;","&amp;N3,$C$34:$D$112,2,FALSE),"-1")</f>
        <v>-1</v>
      </c>
      <c r="O7" s="27" t="str">
        <f>_xlfn.IFNA(VLOOKUP($C7&amp;","&amp;O3,$C$34:$D$112,2,FALSE),"-1")</f>
        <v>-1</v>
      </c>
      <c r="P7" s="27" t="str">
        <f>_xlfn.IFNA(VLOOKUP($C7&amp;","&amp;P3,$C$34:$D$112,2,FALSE),"-1")</f>
        <v>-1</v>
      </c>
      <c r="Q7" s="27" t="str">
        <f>_xlfn.IFNA(VLOOKUP($C7&amp;","&amp;Q3,$C$34:$D$112,2,FALSE),"-1")</f>
        <v>-1</v>
      </c>
      <c r="R7" s="27" t="str">
        <f>_xlfn.IFNA(VLOOKUP($C7&amp;","&amp;R3,$C$34:$D$112,2,FALSE),"-1")</f>
        <v>-1</v>
      </c>
      <c r="S7" s="27" t="str">
        <f>_xlfn.IFNA(VLOOKUP($C7&amp;","&amp;S3,$C$34:$D$112,2,FALSE),"-1")</f>
        <v>-1</v>
      </c>
      <c r="T7" s="27" t="str">
        <f>_xlfn.IFNA(VLOOKUP($C7&amp;","&amp;T3,$C$34:$D$112,2,FALSE),"-1")</f>
        <v>-1</v>
      </c>
      <c r="U7" s="27" t="str">
        <f>_xlfn.IFNA(VLOOKUP($C7&amp;","&amp;U3,$C$34:$D$112,2,FALSE),"-1")</f>
        <v>-1</v>
      </c>
      <c r="V7" s="27" t="str">
        <f>_xlfn.IFNA(VLOOKUP($C7&amp;","&amp;V3,$C$34:$D$112,2,FALSE),"-1")</f>
        <v>-1</v>
      </c>
      <c r="W7" s="27" t="str">
        <f>_xlfn.IFNA(VLOOKUP($C7&amp;","&amp;W3,$C$34:$D$112,2,FALSE),"-1")</f>
        <v>-1</v>
      </c>
      <c r="X7" s="27" t="str">
        <f>_xlfn.IFNA(VLOOKUP($C7&amp;","&amp;X3,$C$34:$D$112,2,FALSE),"-1")</f>
        <v>-1</v>
      </c>
      <c r="Y7" s="27" t="str">
        <f>_xlfn.IFNA(VLOOKUP($C7&amp;","&amp;Y3,$C$34:$D$112,2,FALSE),"-1")</f>
        <v>-1</v>
      </c>
      <c r="Z7" s="27" t="str">
        <f>_xlfn.IFNA(VLOOKUP($C7&amp;","&amp;Z3,$C$34:$D$112,2,FALSE),"-1")</f>
        <v>-1</v>
      </c>
      <c r="AA7" s="27" t="str">
        <f>_xlfn.IFNA(VLOOKUP($C7&amp;","&amp;AA3,$C$34:$D$112,2,FALSE),"-1")</f>
        <v>-1</v>
      </c>
      <c r="AB7" s="50" t="str">
        <f>_xlfn.IFNA(VLOOKUP($C7&amp;","&amp;AB3,$C$34:$D$112,2,FALSE),"-1")</f>
        <v>-1</v>
      </c>
    </row>
    <row r="8" ht="20" customHeight="1" spans="1:28">
      <c r="A8" s="16">
        <v>2</v>
      </c>
      <c r="B8" s="15">
        <f t="shared" si="2"/>
        <v>4</v>
      </c>
      <c r="C8" s="19" t="s">
        <v>923</v>
      </c>
      <c r="D8" s="18" t="str">
        <f t="shared" si="3"/>
        <v>4</v>
      </c>
      <c r="E8" s="43" t="str">
        <f>_xlfn.IFNA(VLOOKUP($C8&amp;","&amp;E3,$C$34:$D$112,2,FALSE),"-1")</f>
        <v>36</v>
      </c>
      <c r="F8" s="27" t="str">
        <f>_xlfn.IFNA(VLOOKUP($C8&amp;","&amp;F3,$C$34:$D$112,2,FALSE),"-1")</f>
        <v>-1</v>
      </c>
      <c r="G8" s="27" t="str">
        <f>_xlfn.IFNA(VLOOKUP($C8&amp;","&amp;G3,$C$34:$D$112,2,FALSE),"-1")</f>
        <v>-1</v>
      </c>
      <c r="H8" s="27" t="str">
        <f>_xlfn.IFNA(VLOOKUP($C8&amp;","&amp;H3,$C$34:$D$112,2,FALSE),"-1")</f>
        <v>-1</v>
      </c>
      <c r="I8" s="27" t="str">
        <f>_xlfn.IFNA(VLOOKUP($C8&amp;","&amp;I3,$C$34:$D$112,2,FALSE),"-1")</f>
        <v>-1</v>
      </c>
      <c r="J8" s="27" t="str">
        <f>_xlfn.IFNA(VLOOKUP($C8&amp;","&amp;J3,$C$34:$D$112,2,FALSE),"-1")</f>
        <v>-1</v>
      </c>
      <c r="K8" s="27" t="str">
        <f>_xlfn.IFNA(VLOOKUP($C8&amp;","&amp;K3,$C$34:$D$112,2,FALSE),"-1")</f>
        <v>-1</v>
      </c>
      <c r="L8" s="27" t="str">
        <f>_xlfn.IFNA(VLOOKUP($C8&amp;","&amp;L3,$C$34:$D$112,2,FALSE),"-1")</f>
        <v>-1</v>
      </c>
      <c r="M8" s="27" t="str">
        <f>_xlfn.IFNA(VLOOKUP($C8&amp;","&amp;M3,$C$34:$D$112,2,FALSE),"-1")</f>
        <v>-1</v>
      </c>
      <c r="N8" s="27" t="str">
        <f>_xlfn.IFNA(VLOOKUP($C8&amp;","&amp;N3,$C$34:$D$112,2,FALSE),"-1")</f>
        <v>-1</v>
      </c>
      <c r="O8" s="27" t="str">
        <f>_xlfn.IFNA(VLOOKUP($C8&amp;","&amp;O3,$C$34:$D$112,2,FALSE),"-1")</f>
        <v>-1</v>
      </c>
      <c r="P8" s="27" t="str">
        <f>_xlfn.IFNA(VLOOKUP($C8&amp;","&amp;P3,$C$34:$D$112,2,FALSE),"-1")</f>
        <v>-1</v>
      </c>
      <c r="Q8" s="27" t="str">
        <f>_xlfn.IFNA(VLOOKUP($C8&amp;","&amp;Q3,$C$34:$D$112,2,FALSE),"-1")</f>
        <v>-1</v>
      </c>
      <c r="R8" s="27" t="str">
        <f>_xlfn.IFNA(VLOOKUP($C8&amp;","&amp;R3,$C$34:$D$112,2,FALSE),"-1")</f>
        <v>-1</v>
      </c>
      <c r="S8" s="27" t="str">
        <f>_xlfn.IFNA(VLOOKUP($C8&amp;","&amp;S3,$C$34:$D$112,2,FALSE),"-1")</f>
        <v>-1</v>
      </c>
      <c r="T8" s="27" t="str">
        <f>_xlfn.IFNA(VLOOKUP($C8&amp;","&amp;T3,$C$34:$D$112,2,FALSE),"-1")</f>
        <v>-1</v>
      </c>
      <c r="U8" s="27" t="str">
        <f>_xlfn.IFNA(VLOOKUP($C8&amp;","&amp;U3,$C$34:$D$112,2,FALSE),"-1")</f>
        <v>-1</v>
      </c>
      <c r="V8" s="27" t="str">
        <f>_xlfn.IFNA(VLOOKUP($C8&amp;","&amp;V3,$C$34:$D$112,2,FALSE),"-1")</f>
        <v>-1</v>
      </c>
      <c r="W8" s="27" t="str">
        <f>_xlfn.IFNA(VLOOKUP($C8&amp;","&amp;W3,$C$34:$D$112,2,FALSE),"-1")</f>
        <v>-1</v>
      </c>
      <c r="X8" s="27" t="str">
        <f>_xlfn.IFNA(VLOOKUP($C8&amp;","&amp;X3,$C$34:$D$112,2,FALSE),"-1")</f>
        <v>-1</v>
      </c>
      <c r="Y8" s="27" t="str">
        <f>_xlfn.IFNA(VLOOKUP($C8&amp;","&amp;Y3,$C$34:$D$112,2,FALSE),"-1")</f>
        <v>-1</v>
      </c>
      <c r="Z8" s="27" t="str">
        <f>_xlfn.IFNA(VLOOKUP($C8&amp;","&amp;Z3,$C$34:$D$112,2,FALSE),"-1")</f>
        <v>-1</v>
      </c>
      <c r="AA8" s="27" t="str">
        <f>_xlfn.IFNA(VLOOKUP($C8&amp;","&amp;AA3,$C$34:$D$112,2,FALSE),"-1")</f>
        <v>-1</v>
      </c>
      <c r="AB8" s="50" t="str">
        <f>_xlfn.IFNA(VLOOKUP($C8&amp;","&amp;AB3,$C$34:$D$112,2,FALSE),"-1")</f>
        <v>-1</v>
      </c>
    </row>
    <row r="9" ht="20" customHeight="1" spans="1:28">
      <c r="A9" s="16">
        <v>2</v>
      </c>
      <c r="B9" s="15">
        <f t="shared" si="2"/>
        <v>5</v>
      </c>
      <c r="C9" s="19" t="s">
        <v>924</v>
      </c>
      <c r="D9" s="18" t="str">
        <f t="shared" si="3"/>
        <v>5</v>
      </c>
      <c r="E9" s="43" t="str">
        <f>_xlfn.IFNA(VLOOKUP($C9&amp;","&amp;E3,$C$34:$D$112,2,FALSE),"-1")</f>
        <v>37</v>
      </c>
      <c r="F9" s="27" t="str">
        <f>_xlfn.IFNA(VLOOKUP($C9&amp;","&amp;F3,$C$34:$D$112,2,FALSE),"-1")</f>
        <v>-1</v>
      </c>
      <c r="G9" s="27" t="str">
        <f>_xlfn.IFNA(VLOOKUP($C9&amp;","&amp;G3,$C$34:$D$112,2,FALSE),"-1")</f>
        <v>-1</v>
      </c>
      <c r="H9" s="27" t="str">
        <f>_xlfn.IFNA(VLOOKUP($C9&amp;","&amp;H3,$C$34:$D$112,2,FALSE),"-1")</f>
        <v>-1</v>
      </c>
      <c r="I9" s="27" t="str">
        <f>_xlfn.IFNA(VLOOKUP($C9&amp;","&amp;I3,$C$34:$D$112,2,FALSE),"-1")</f>
        <v>-1</v>
      </c>
      <c r="J9" s="27" t="str">
        <f>_xlfn.IFNA(VLOOKUP($C9&amp;","&amp;J3,$C$34:$D$112,2,FALSE),"-1")</f>
        <v>-1</v>
      </c>
      <c r="K9" s="27" t="str">
        <f>_xlfn.IFNA(VLOOKUP($C9&amp;","&amp;K3,$C$34:$D$112,2,FALSE),"-1")</f>
        <v>-1</v>
      </c>
      <c r="L9" s="27" t="str">
        <f>_xlfn.IFNA(VLOOKUP($C9&amp;","&amp;L3,$C$34:$D$112,2,FALSE),"-1")</f>
        <v>-1</v>
      </c>
      <c r="M9" s="27" t="str">
        <f>_xlfn.IFNA(VLOOKUP($C9&amp;","&amp;M3,$C$34:$D$112,2,FALSE),"-1")</f>
        <v>-1</v>
      </c>
      <c r="N9" s="27" t="str">
        <f>_xlfn.IFNA(VLOOKUP($C9&amp;","&amp;N3,$C$34:$D$112,2,FALSE),"-1")</f>
        <v>-1</v>
      </c>
      <c r="O9" s="26" t="str">
        <f>_xlfn.IFNA(VLOOKUP($C9&amp;","&amp;O3,$C$34:$D$112,2,FALSE),"-1")</f>
        <v>39</v>
      </c>
      <c r="P9" s="27" t="str">
        <f>_xlfn.IFNA(VLOOKUP($C9&amp;","&amp;P3,$C$34:$D$112,2,FALSE),"-1")</f>
        <v>-1</v>
      </c>
      <c r="Q9" s="27" t="str">
        <f>_xlfn.IFNA(VLOOKUP($C9&amp;","&amp;Q3,$C$34:$D$112,2,FALSE),"-1")</f>
        <v>-1</v>
      </c>
      <c r="R9" s="27" t="str">
        <f>_xlfn.IFNA(VLOOKUP($C9&amp;","&amp;R3,$C$34:$D$112,2,FALSE),"-1")</f>
        <v>-1</v>
      </c>
      <c r="S9" s="27" t="str">
        <f>_xlfn.IFNA(VLOOKUP($C9&amp;","&amp;S3,$C$34:$D$112,2,FALSE),"-1")</f>
        <v>-1</v>
      </c>
      <c r="T9" s="27" t="str">
        <f>_xlfn.IFNA(VLOOKUP($C9&amp;","&amp;T3,$C$34:$D$112,2,FALSE),"-1")</f>
        <v>-1</v>
      </c>
      <c r="U9" s="27" t="str">
        <f>_xlfn.IFNA(VLOOKUP($C9&amp;","&amp;U3,$C$34:$D$112,2,FALSE),"-1")</f>
        <v>-1</v>
      </c>
      <c r="V9" s="27" t="str">
        <f>_xlfn.IFNA(VLOOKUP($C9&amp;","&amp;V3,$C$34:$D$112,2,FALSE),"-1")</f>
        <v>-1</v>
      </c>
      <c r="W9" s="27" t="str">
        <f>_xlfn.IFNA(VLOOKUP($C9&amp;","&amp;W3,$C$34:$D$112,2,FALSE),"-1")</f>
        <v>-1</v>
      </c>
      <c r="X9" s="27" t="str">
        <f>_xlfn.IFNA(VLOOKUP($C9&amp;","&amp;X3,$C$34:$D$112,2,FALSE),"-1")</f>
        <v>-1</v>
      </c>
      <c r="Y9" s="27" t="str">
        <f>_xlfn.IFNA(VLOOKUP($C9&amp;","&amp;Y3,$C$34:$D$112,2,FALSE),"-1")</f>
        <v>-1</v>
      </c>
      <c r="Z9" s="26" t="str">
        <f>_xlfn.IFNA(VLOOKUP($C9&amp;","&amp;Z3,$C$34:$D$112,2,FALSE),"-1")</f>
        <v>38</v>
      </c>
      <c r="AA9" s="27" t="str">
        <f>_xlfn.IFNA(VLOOKUP($C9&amp;","&amp;AA3,$C$34:$D$112,2,FALSE),"-1")</f>
        <v>-1</v>
      </c>
      <c r="AB9" s="50" t="str">
        <f>_xlfn.IFNA(VLOOKUP($C9&amp;","&amp;AB3,$C$34:$D$112,2,FALSE),"-1")</f>
        <v>-1</v>
      </c>
    </row>
    <row r="10" ht="20" customHeight="1" spans="1:28">
      <c r="A10" s="16">
        <v>2</v>
      </c>
      <c r="B10" s="15">
        <f t="shared" si="2"/>
        <v>6</v>
      </c>
      <c r="C10" s="19" t="s">
        <v>925</v>
      </c>
      <c r="D10" s="18" t="str">
        <f t="shared" si="3"/>
        <v>6</v>
      </c>
      <c r="E10" s="44" t="str">
        <f>_xlfn.IFNA(VLOOKUP($C10&amp;","&amp;E3,$C$34:$D$112,2,FALSE),"-1")</f>
        <v>-1</v>
      </c>
      <c r="F10" s="26" t="str">
        <f>_xlfn.IFNA(VLOOKUP($C10&amp;","&amp;F3,$C$34:$D$112,2,FALSE),"-1")</f>
        <v>3A</v>
      </c>
      <c r="G10" s="26" t="str">
        <f>_xlfn.IFNA(VLOOKUP($C10&amp;","&amp;G3,$C$34:$D$112,2,FALSE),"-1")</f>
        <v>3B</v>
      </c>
      <c r="H10" s="26" t="str">
        <f>_xlfn.IFNA(VLOOKUP($C10&amp;","&amp;H3,$C$34:$D$112,2,FALSE),"-1")</f>
        <v>3C</v>
      </c>
      <c r="I10" s="27" t="str">
        <f>_xlfn.IFNA(VLOOKUP($C10&amp;","&amp;I3,$C$34:$D$112,2,FALSE),"-1")</f>
        <v>3D</v>
      </c>
      <c r="J10" s="27" t="str">
        <f>_xlfn.IFNA(VLOOKUP($C10&amp;","&amp;J3,$C$34:$D$112,2,FALSE),"-1")</f>
        <v>3E</v>
      </c>
      <c r="K10" s="27" t="str">
        <f>_xlfn.IFNA(VLOOKUP($C10&amp;","&amp;K3,$C$34:$D$112,2,FALSE),"-1")</f>
        <v>3F</v>
      </c>
      <c r="L10" s="27" t="str">
        <f>_xlfn.IFNA(VLOOKUP($C10&amp;","&amp;L3,$C$34:$D$112,2,FALSE),"-1")</f>
        <v>40</v>
      </c>
      <c r="M10" s="27" t="str">
        <f>_xlfn.IFNA(VLOOKUP($C10&amp;","&amp;M3,$C$34:$D$112,2,FALSE),"-1")</f>
        <v>41</v>
      </c>
      <c r="N10" s="27" t="str">
        <f>_xlfn.IFNA(VLOOKUP($C10&amp;","&amp;N3,$C$34:$D$112,2,FALSE),"-1")</f>
        <v>-1</v>
      </c>
      <c r="O10" s="27" t="str">
        <f>_xlfn.IFNA(VLOOKUP($C10&amp;","&amp;O3,$C$34:$D$112,2,FALSE),"-1")</f>
        <v>-1</v>
      </c>
      <c r="P10" s="27" t="str">
        <f>_xlfn.IFNA(VLOOKUP($C10&amp;","&amp;P3,$C$34:$D$112,2,FALSE),"-1")</f>
        <v>-1</v>
      </c>
      <c r="Q10" s="27" t="str">
        <f>_xlfn.IFNA(VLOOKUP($C10&amp;","&amp;Q3,$C$34:$D$112,2,FALSE),"-1")</f>
        <v>-1</v>
      </c>
      <c r="R10" s="27" t="str">
        <f>_xlfn.IFNA(VLOOKUP($C10&amp;","&amp;R3,$C$34:$D$112,2,FALSE),"-1")</f>
        <v>-1</v>
      </c>
      <c r="S10" s="27" t="str">
        <f>_xlfn.IFNA(VLOOKUP($C10&amp;","&amp;S3,$C$34:$D$112,2,FALSE),"-1")</f>
        <v>-1</v>
      </c>
      <c r="T10" s="27" t="str">
        <f>_xlfn.IFNA(VLOOKUP($C10&amp;","&amp;T3,$C$34:$D$112,2,FALSE),"-1")</f>
        <v>-1</v>
      </c>
      <c r="U10" s="27" t="str">
        <f>_xlfn.IFNA(VLOOKUP($C10&amp;","&amp;U3,$C$34:$D$112,2,FALSE),"-1")</f>
        <v>-1</v>
      </c>
      <c r="V10" s="27" t="str">
        <f>_xlfn.IFNA(VLOOKUP($C10&amp;","&amp;V3,$C$34:$D$112,2,FALSE),"-1")</f>
        <v>-1</v>
      </c>
      <c r="W10" s="27" t="str">
        <f>_xlfn.IFNA(VLOOKUP($C10&amp;","&amp;W3,$C$34:$D$112,2,FALSE),"-1")</f>
        <v>-1</v>
      </c>
      <c r="X10" s="27" t="str">
        <f>_xlfn.IFNA(VLOOKUP($C10&amp;","&amp;X3,$C$34:$D$112,2,FALSE),"-1")</f>
        <v>-1</v>
      </c>
      <c r="Y10" s="27" t="str">
        <f>_xlfn.IFNA(VLOOKUP($C10&amp;","&amp;Y3,$C$34:$D$112,2,FALSE),"-1")</f>
        <v>-1</v>
      </c>
      <c r="Z10" s="27" t="str">
        <f>_xlfn.IFNA(VLOOKUP($C10&amp;","&amp;Z3,$C$34:$D$112,2,FALSE),"-1")</f>
        <v>-1</v>
      </c>
      <c r="AA10" s="27" t="str">
        <f>_xlfn.IFNA(VLOOKUP($C10&amp;","&amp;AA3,$C$34:$D$112,2,FALSE),"-1")</f>
        <v>-1</v>
      </c>
      <c r="AB10" s="50" t="str">
        <f>_xlfn.IFNA(VLOOKUP($C10&amp;","&amp;AB3,$C$34:$D$112,2,FALSE),"-1")</f>
        <v>-1</v>
      </c>
    </row>
    <row r="11" ht="20" customHeight="1" spans="1:28">
      <c r="A11" s="16">
        <v>2</v>
      </c>
      <c r="B11" s="15">
        <f t="shared" si="2"/>
        <v>7</v>
      </c>
      <c r="C11" s="19" t="s">
        <v>926</v>
      </c>
      <c r="D11" s="18" t="str">
        <f t="shared" si="3"/>
        <v>7</v>
      </c>
      <c r="E11" s="44" t="str">
        <f>_xlfn.IFNA(VLOOKUP($C11&amp;","&amp;E3,$C$34:$D$112,2,FALSE),"-1")</f>
        <v>-1</v>
      </c>
      <c r="F11" s="27" t="str">
        <f>_xlfn.IFNA(VLOOKUP($C11&amp;","&amp;F3,$C$34:$D$112,2,FALSE),"-1")</f>
        <v>-1</v>
      </c>
      <c r="G11" s="27" t="str">
        <f>_xlfn.IFNA(VLOOKUP($C11&amp;","&amp;G3,$C$34:$D$112,2,FALSE),"-1")</f>
        <v>-1</v>
      </c>
      <c r="H11" s="27" t="str">
        <f>_xlfn.IFNA(VLOOKUP($C11&amp;","&amp;H3,$C$34:$D$112,2,FALSE),"-1")</f>
        <v>-1</v>
      </c>
      <c r="I11" s="27" t="str">
        <f>_xlfn.IFNA(VLOOKUP($C11&amp;","&amp;I3,$C$34:$D$112,2,FALSE),"-1")</f>
        <v>-1</v>
      </c>
      <c r="J11" s="27" t="str">
        <f>_xlfn.IFNA(VLOOKUP($C11&amp;","&amp;J3,$C$34:$D$112,2,FALSE),"-1")</f>
        <v>-1</v>
      </c>
      <c r="K11" s="27" t="str">
        <f>_xlfn.IFNA(VLOOKUP($C11&amp;","&amp;K3,$C$34:$D$112,2,FALSE),"-1")</f>
        <v>-1</v>
      </c>
      <c r="L11" s="27" t="str">
        <f>_xlfn.IFNA(VLOOKUP($C11&amp;","&amp;L3,$C$34:$D$112,2,FALSE),"-1")</f>
        <v>-1</v>
      </c>
      <c r="M11" s="27" t="str">
        <f>_xlfn.IFNA(VLOOKUP($C11&amp;","&amp;M3,$C$34:$D$112,2,FALSE),"-1")</f>
        <v>-1</v>
      </c>
      <c r="N11" s="27" t="str">
        <f>_xlfn.IFNA(VLOOKUP($C11&amp;","&amp;N3,$C$34:$D$112,2,FALSE),"-1")</f>
        <v>-1</v>
      </c>
      <c r="O11" s="27" t="str">
        <f>_xlfn.IFNA(VLOOKUP($C11&amp;","&amp;O3,$C$34:$D$112,2,FALSE),"-1")</f>
        <v>-1</v>
      </c>
      <c r="P11" s="27" t="str">
        <f>_xlfn.IFNA(VLOOKUP($C11&amp;","&amp;P3,$C$34:$D$112,2,FALSE),"-1")</f>
        <v>-1</v>
      </c>
      <c r="Q11" s="27" t="str">
        <f>_xlfn.IFNA(VLOOKUP($C11&amp;","&amp;Q3,$C$34:$D$112,2,FALSE),"-1")</f>
        <v>-1</v>
      </c>
      <c r="R11" s="27" t="str">
        <f>_xlfn.IFNA(VLOOKUP($C11&amp;","&amp;R3,$C$34:$D$112,2,FALSE),"-1")</f>
        <v>-1</v>
      </c>
      <c r="S11" s="27" t="str">
        <f>_xlfn.IFNA(VLOOKUP($C11&amp;","&amp;S3,$C$34:$D$112,2,FALSE),"-1")</f>
        <v>-1</v>
      </c>
      <c r="T11" s="27" t="str">
        <f>_xlfn.IFNA(VLOOKUP($C11&amp;","&amp;T3,$C$34:$D$112,2,FALSE),"-1")</f>
        <v>-1</v>
      </c>
      <c r="U11" s="27" t="str">
        <f>_xlfn.IFNA(VLOOKUP($C11&amp;","&amp;U3,$C$34:$D$112,2,FALSE),"-1")</f>
        <v>-1</v>
      </c>
      <c r="V11" s="27" t="str">
        <f>_xlfn.IFNA(VLOOKUP($C11&amp;","&amp;V3,$C$34:$D$112,2,FALSE),"-1")</f>
        <v>-1</v>
      </c>
      <c r="W11" s="27" t="str">
        <f>_xlfn.IFNA(VLOOKUP($C11&amp;","&amp;W3,$C$34:$D$112,2,FALSE),"-1")</f>
        <v>-1</v>
      </c>
      <c r="X11" s="27" t="str">
        <f>_xlfn.IFNA(VLOOKUP($C11&amp;","&amp;X3,$C$34:$D$112,2,FALSE),"-1")</f>
        <v>-1</v>
      </c>
      <c r="Y11" s="27" t="str">
        <f>_xlfn.IFNA(VLOOKUP($C11&amp;","&amp;Y3,$C$34:$D$112,2,FALSE),"-1")</f>
        <v>42</v>
      </c>
      <c r="Z11" s="27" t="str">
        <f>_xlfn.IFNA(VLOOKUP($C11&amp;","&amp;Z3,$C$34:$D$112,2,FALSE),"-1")</f>
        <v>-1</v>
      </c>
      <c r="AA11" s="27" t="str">
        <f>_xlfn.IFNA(VLOOKUP($C11&amp;","&amp;AA3,$C$34:$D$112,2,FALSE),"-1")</f>
        <v>-1</v>
      </c>
      <c r="AB11" s="50" t="str">
        <f>_xlfn.IFNA(VLOOKUP($C11&amp;","&amp;AB3,$C$34:$D$112,2,FALSE),"-1")</f>
        <v>-1</v>
      </c>
    </row>
    <row r="12" ht="20" customHeight="1" spans="1:28">
      <c r="A12" s="16">
        <v>2</v>
      </c>
      <c r="B12" s="15">
        <f t="shared" si="2"/>
        <v>8</v>
      </c>
      <c r="C12" s="19" t="s">
        <v>927</v>
      </c>
      <c r="D12" s="18" t="str">
        <f t="shared" si="3"/>
        <v>8</v>
      </c>
      <c r="E12" s="44" t="str">
        <f>_xlfn.IFNA(VLOOKUP($C12&amp;","&amp;E3,$C$34:$D$112,2,FALSE),"-1")</f>
        <v>-1</v>
      </c>
      <c r="F12" s="27" t="str">
        <f>_xlfn.IFNA(VLOOKUP($C12&amp;","&amp;F3,$C$34:$D$112,2,FALSE),"-1")</f>
        <v>-1</v>
      </c>
      <c r="G12" s="27" t="str">
        <f>_xlfn.IFNA(VLOOKUP($C12&amp;","&amp;G3,$C$34:$D$112,2,FALSE),"-1")</f>
        <v>-1</v>
      </c>
      <c r="H12" s="27" t="str">
        <f>_xlfn.IFNA(VLOOKUP($C12&amp;","&amp;H3,$C$34:$D$112,2,FALSE),"-1")</f>
        <v>-1</v>
      </c>
      <c r="I12" s="27" t="str">
        <f>_xlfn.IFNA(VLOOKUP($C12&amp;","&amp;I3,$C$34:$D$112,2,FALSE),"-1")</f>
        <v>-1</v>
      </c>
      <c r="J12" s="27" t="str">
        <f>_xlfn.IFNA(VLOOKUP($C12&amp;","&amp;J3,$C$34:$D$112,2,FALSE),"-1")</f>
        <v>-1</v>
      </c>
      <c r="K12" s="27" t="str">
        <f>_xlfn.IFNA(VLOOKUP($C12&amp;","&amp;K3,$C$34:$D$112,2,FALSE),"-1")</f>
        <v>-1</v>
      </c>
      <c r="L12" s="27" t="str">
        <f>_xlfn.IFNA(VLOOKUP($C12&amp;","&amp;L3,$C$34:$D$112,2,FALSE),"-1")</f>
        <v>-1</v>
      </c>
      <c r="M12" s="27" t="str">
        <f>_xlfn.IFNA(VLOOKUP($C12&amp;","&amp;M3,$C$34:$D$112,2,FALSE),"-1")</f>
        <v>-1</v>
      </c>
      <c r="N12" s="27" t="str">
        <f>_xlfn.IFNA(VLOOKUP($C12&amp;","&amp;N3,$C$34:$D$112,2,FALSE),"-1")</f>
        <v>-1</v>
      </c>
      <c r="O12" s="27" t="str">
        <f>_xlfn.IFNA(VLOOKUP($C12&amp;","&amp;O3,$C$34:$D$112,2,FALSE),"-1")</f>
        <v>-1</v>
      </c>
      <c r="P12" s="27" t="str">
        <f>_xlfn.IFNA(VLOOKUP($C12&amp;","&amp;P3,$C$34:$D$112,2,FALSE),"-1")</f>
        <v>-1</v>
      </c>
      <c r="Q12" s="27" t="str">
        <f>_xlfn.IFNA(VLOOKUP($C12&amp;","&amp;Q3,$C$34:$D$112,2,FALSE),"-1")</f>
        <v>-1</v>
      </c>
      <c r="R12" s="27" t="str">
        <f>_xlfn.IFNA(VLOOKUP($C12&amp;","&amp;R3,$C$34:$D$112,2,FALSE),"-1")</f>
        <v>-1</v>
      </c>
      <c r="S12" s="27" t="str">
        <f>_xlfn.IFNA(VLOOKUP($C12&amp;","&amp;S3,$C$34:$D$112,2,FALSE),"-1")</f>
        <v>-1</v>
      </c>
      <c r="T12" s="27" t="str">
        <f>_xlfn.IFNA(VLOOKUP($C12&amp;","&amp;T3,$C$34:$D$112,2,FALSE),"-1")</f>
        <v>-1</v>
      </c>
      <c r="U12" s="27" t="str">
        <f>_xlfn.IFNA(VLOOKUP($C12&amp;","&amp;U3,$C$34:$D$112,2,FALSE),"-1")</f>
        <v>-1</v>
      </c>
      <c r="V12" s="27" t="str">
        <f>_xlfn.IFNA(VLOOKUP($C12&amp;","&amp;V3,$C$34:$D$112,2,FALSE),"-1")</f>
        <v>-1</v>
      </c>
      <c r="W12" s="27" t="str">
        <f>_xlfn.IFNA(VLOOKUP($C12&amp;","&amp;W3,$C$34:$D$112,2,FALSE),"-1")</f>
        <v>-1</v>
      </c>
      <c r="X12" s="27" t="str">
        <f>_xlfn.IFNA(VLOOKUP($C12&amp;","&amp;X3,$C$34:$D$112,2,FALSE),"-1")</f>
        <v>-1</v>
      </c>
      <c r="Y12" s="27" t="str">
        <f>_xlfn.IFNA(VLOOKUP($C12&amp;","&amp;Y3,$C$34:$D$112,2,FALSE),"-1")</f>
        <v>43</v>
      </c>
      <c r="Z12" s="27" t="str">
        <f>_xlfn.IFNA(VLOOKUP($C12&amp;","&amp;Z3,$C$34:$D$112,2,FALSE),"-1")</f>
        <v>-1</v>
      </c>
      <c r="AA12" s="27" t="str">
        <f>_xlfn.IFNA(VLOOKUP($C12&amp;","&amp;AA3,$C$34:$D$112,2,FALSE),"-1")</f>
        <v>-1</v>
      </c>
      <c r="AB12" s="50" t="str">
        <f>_xlfn.IFNA(VLOOKUP($C12&amp;","&amp;AB3,$C$34:$D$112,2,FALSE),"-1")</f>
        <v>-1</v>
      </c>
    </row>
    <row r="13" ht="20" customHeight="1" spans="1:28">
      <c r="A13" s="16">
        <v>2</v>
      </c>
      <c r="B13" s="15">
        <f t="shared" si="2"/>
        <v>9</v>
      </c>
      <c r="C13" s="19" t="s">
        <v>928</v>
      </c>
      <c r="D13" s="18" t="str">
        <f t="shared" si="3"/>
        <v>9</v>
      </c>
      <c r="E13" s="44" t="str">
        <f>_xlfn.IFNA(VLOOKUP($C13&amp;","&amp;E3,$C$34:$D$112,2,FALSE),"-1")</f>
        <v>-1</v>
      </c>
      <c r="F13" s="27" t="str">
        <f>_xlfn.IFNA(VLOOKUP($C13&amp;","&amp;F3,$C$34:$D$112,2,FALSE),"-1")</f>
        <v>-1</v>
      </c>
      <c r="G13" s="27" t="str">
        <f>_xlfn.IFNA(VLOOKUP($C13&amp;","&amp;G3,$C$34:$D$112,2,FALSE),"-1")</f>
        <v>-1</v>
      </c>
      <c r="H13" s="27" t="str">
        <f>_xlfn.IFNA(VLOOKUP($C13&amp;","&amp;H3,$C$34:$D$112,2,FALSE),"-1")</f>
        <v>-1</v>
      </c>
      <c r="I13" s="27" t="str">
        <f>_xlfn.IFNA(VLOOKUP($C13&amp;","&amp;I3,$C$34:$D$112,2,FALSE),"-1")</f>
        <v>-1</v>
      </c>
      <c r="J13" s="27" t="str">
        <f>_xlfn.IFNA(VLOOKUP($C13&amp;","&amp;J3,$C$34:$D$112,2,FALSE),"-1")</f>
        <v>-1</v>
      </c>
      <c r="K13" s="27" t="str">
        <f>_xlfn.IFNA(VLOOKUP($C13&amp;","&amp;K3,$C$34:$D$112,2,FALSE),"-1")</f>
        <v>-1</v>
      </c>
      <c r="L13" s="27" t="str">
        <f>_xlfn.IFNA(VLOOKUP($C13&amp;","&amp;L3,$C$34:$D$112,2,FALSE),"-1")</f>
        <v>-1</v>
      </c>
      <c r="M13" s="27" t="str">
        <f>_xlfn.IFNA(VLOOKUP($C13&amp;","&amp;M3,$C$34:$D$112,2,FALSE),"-1")</f>
        <v>-1</v>
      </c>
      <c r="N13" s="27" t="str">
        <f>_xlfn.IFNA(VLOOKUP($C13&amp;","&amp;N3,$C$34:$D$112,2,FALSE),"-1")</f>
        <v>-1</v>
      </c>
      <c r="O13" s="27" t="str">
        <f>_xlfn.IFNA(VLOOKUP($C13&amp;","&amp;O3,$C$34:$D$112,2,FALSE),"-1")</f>
        <v>-1</v>
      </c>
      <c r="P13" s="27" t="str">
        <f>_xlfn.IFNA(VLOOKUP($C13&amp;","&amp;P3,$C$34:$D$112,2,FALSE),"-1")</f>
        <v>-1</v>
      </c>
      <c r="Q13" s="27" t="str">
        <f>_xlfn.IFNA(VLOOKUP($C13&amp;","&amp;Q3,$C$34:$D$112,2,FALSE),"-1")</f>
        <v>-1</v>
      </c>
      <c r="R13" s="27" t="str">
        <f>_xlfn.IFNA(VLOOKUP($C13&amp;","&amp;R3,$C$34:$D$112,2,FALSE),"-1")</f>
        <v>-1</v>
      </c>
      <c r="S13" s="27" t="str">
        <f>_xlfn.IFNA(VLOOKUP($C13&amp;","&amp;S3,$C$34:$D$112,2,FALSE),"-1")</f>
        <v>-1</v>
      </c>
      <c r="T13" s="27" t="str">
        <f>_xlfn.IFNA(VLOOKUP($C13&amp;","&amp;T3,$C$34:$D$112,2,FALSE),"-1")</f>
        <v>-1</v>
      </c>
      <c r="U13" s="27" t="str">
        <f>_xlfn.IFNA(VLOOKUP($C13&amp;","&amp;U3,$C$34:$D$112,2,FALSE),"-1")</f>
        <v>-1</v>
      </c>
      <c r="V13" s="27" t="str">
        <f>_xlfn.IFNA(VLOOKUP($C13&amp;","&amp;V3,$C$34:$D$112,2,FALSE),"-1")</f>
        <v>-1</v>
      </c>
      <c r="W13" s="27" t="str">
        <f>_xlfn.IFNA(VLOOKUP($C13&amp;","&amp;W3,$C$34:$D$112,2,FALSE),"-1")</f>
        <v>-1</v>
      </c>
      <c r="X13" s="27" t="str">
        <f>_xlfn.IFNA(VLOOKUP($C13&amp;","&amp;X3,$C$34:$D$112,2,FALSE),"-1")</f>
        <v>-1</v>
      </c>
      <c r="Y13" s="27" t="str">
        <f>_xlfn.IFNA(VLOOKUP($C13&amp;","&amp;Y3,$C$34:$D$112,2,FALSE),"-1")</f>
        <v>44</v>
      </c>
      <c r="Z13" s="27" t="str">
        <f>_xlfn.IFNA(VLOOKUP($C13&amp;","&amp;Z3,$C$34:$D$112,2,FALSE),"-1")</f>
        <v>-1</v>
      </c>
      <c r="AA13" s="27" t="str">
        <f>_xlfn.IFNA(VLOOKUP($C13&amp;","&amp;AA3,$C$34:$D$112,2,FALSE),"-1")</f>
        <v>-1</v>
      </c>
      <c r="AB13" s="50" t="str">
        <f>_xlfn.IFNA(VLOOKUP($C13&amp;","&amp;AB3,$C$34:$D$112,2,FALSE),"-1")</f>
        <v>-1</v>
      </c>
    </row>
    <row r="14" ht="20" customHeight="1" spans="1:28">
      <c r="A14" s="16">
        <v>2</v>
      </c>
      <c r="B14" s="15">
        <f t="shared" si="2"/>
        <v>10</v>
      </c>
      <c r="C14" s="19" t="s">
        <v>929</v>
      </c>
      <c r="D14" s="18" t="str">
        <f t="shared" si="3"/>
        <v>A</v>
      </c>
      <c r="E14" s="44" t="str">
        <f>_xlfn.IFNA(VLOOKUP($C14&amp;","&amp;E3,$C$34:$D$112,2,FALSE),"-1")</f>
        <v>47</v>
      </c>
      <c r="F14" s="27" t="str">
        <f>_xlfn.IFNA(VLOOKUP($C14&amp;","&amp;F3,$C$34:$D$112,2,FALSE),"-1")</f>
        <v>4C</v>
      </c>
      <c r="G14" s="27" t="str">
        <f>_xlfn.IFNA(VLOOKUP($C14&amp;","&amp;G3,$C$34:$D$112,2,FALSE),"-1")</f>
        <v>4D</v>
      </c>
      <c r="H14" s="27" t="str">
        <f>_xlfn.IFNA(VLOOKUP($C14&amp;","&amp;H3,$C$34:$D$112,2,FALSE),"-1")</f>
        <v>4E</v>
      </c>
      <c r="I14" s="27" t="str">
        <f>_xlfn.IFNA(VLOOKUP($C14&amp;","&amp;I3,$C$34:$D$112,2,FALSE),"-1")</f>
        <v>4F</v>
      </c>
      <c r="J14" s="27" t="str">
        <f>_xlfn.IFNA(VLOOKUP($C14&amp;","&amp;J3,$C$34:$D$112,2,FALSE),"-1")</f>
        <v>50</v>
      </c>
      <c r="K14" s="27" t="str">
        <f>_xlfn.IFNA(VLOOKUP($C14&amp;","&amp;K3,$C$34:$D$112,2,FALSE),"-1")</f>
        <v>51</v>
      </c>
      <c r="L14" s="27" t="str">
        <f>_xlfn.IFNA(VLOOKUP($C14&amp;","&amp;L3,$C$34:$D$112,2,FALSE),"-1")</f>
        <v>52</v>
      </c>
      <c r="M14" s="27" t="str">
        <f>_xlfn.IFNA(VLOOKUP($C14&amp;","&amp;M3,$C$34:$D$112,2,FALSE),"-1")</f>
        <v>53</v>
      </c>
      <c r="N14" s="27" t="str">
        <f>_xlfn.IFNA(VLOOKUP($C14&amp;","&amp;N3,$C$34:$D$112,2,FALSE),"-1")</f>
        <v>-1</v>
      </c>
      <c r="O14" s="27" t="str">
        <f>_xlfn.IFNA(VLOOKUP($C14&amp;","&amp;O3,$C$34:$D$112,2,FALSE),"-1")</f>
        <v>4A</v>
      </c>
      <c r="P14" s="27" t="str">
        <f>_xlfn.IFNA(VLOOKUP($C14&amp;","&amp;P3,$C$34:$D$112,2,FALSE),"-1")</f>
        <v>45</v>
      </c>
      <c r="Q14" s="27" t="str">
        <f>_xlfn.IFNA(VLOOKUP($C14&amp;","&amp;Q3,$C$34:$D$112,2,FALSE),"-1")</f>
        <v>46</v>
      </c>
      <c r="R14" s="27" t="str">
        <f>_xlfn.IFNA(VLOOKUP($C14&amp;","&amp;R3,$C$34:$D$112,2,FALSE),"-1")</f>
        <v>4B</v>
      </c>
      <c r="S14" s="27" t="str">
        <f>_xlfn.IFNA(VLOOKUP($C14&amp;","&amp;S3,$C$34:$D$112,2,FALSE),"-1")</f>
        <v>-1</v>
      </c>
      <c r="T14" s="27" t="str">
        <f>_xlfn.IFNA(VLOOKUP($C14&amp;","&amp;T3,$C$34:$D$112,2,FALSE),"-1")</f>
        <v>-1</v>
      </c>
      <c r="U14" s="27" t="str">
        <f>_xlfn.IFNA(VLOOKUP($C14&amp;","&amp;U3,$C$34:$D$112,2,FALSE),"-1")</f>
        <v>-1</v>
      </c>
      <c r="V14" s="27" t="str">
        <f>_xlfn.IFNA(VLOOKUP($C14&amp;","&amp;V3,$C$34:$D$112,2,FALSE),"-1")</f>
        <v>-1</v>
      </c>
      <c r="W14" s="27" t="str">
        <f>_xlfn.IFNA(VLOOKUP($C14&amp;","&amp;W3,$C$34:$D$112,2,FALSE),"-1")</f>
        <v>-1</v>
      </c>
      <c r="X14" s="27" t="str">
        <f>_xlfn.IFNA(VLOOKUP($C14&amp;","&amp;X3,$C$34:$D$112,2,FALSE),"-1")</f>
        <v>-1</v>
      </c>
      <c r="Y14" s="27" t="str">
        <f>_xlfn.IFNA(VLOOKUP($C14&amp;","&amp;Y3,$C$34:$D$112,2,FALSE),"-1")</f>
        <v>48</v>
      </c>
      <c r="Z14" s="27" t="str">
        <f>_xlfn.IFNA(VLOOKUP($C14&amp;","&amp;Z3,$C$34:$D$112,2,FALSE),"-1")</f>
        <v>49</v>
      </c>
      <c r="AA14" s="27" t="str">
        <f>_xlfn.IFNA(VLOOKUP($C14&amp;","&amp;AA3,$C$34:$D$112,2,FALSE),"-1")</f>
        <v>-1</v>
      </c>
      <c r="AB14" s="50" t="str">
        <f>_xlfn.IFNA(VLOOKUP($C14&amp;","&amp;AB3,$C$34:$D$112,2,FALSE),"-1")</f>
        <v>-1</v>
      </c>
    </row>
    <row r="15" ht="20" customHeight="1" spans="1:28">
      <c r="A15" s="16">
        <v>2</v>
      </c>
      <c r="B15" s="15">
        <f t="shared" si="2"/>
        <v>11</v>
      </c>
      <c r="C15" s="19" t="s">
        <v>930</v>
      </c>
      <c r="D15" s="18" t="str">
        <f t="shared" si="3"/>
        <v>B</v>
      </c>
      <c r="E15" s="44" t="str">
        <f>_xlfn.IFNA(VLOOKUP($C15&amp;","&amp;E3,$C$34:$D$112,2,FALSE),"-1")</f>
        <v>54</v>
      </c>
      <c r="F15" s="27" t="str">
        <f>_xlfn.IFNA(VLOOKUP($C15&amp;","&amp;F3,$C$34:$D$112,2,FALSE),"-1")</f>
        <v>-1</v>
      </c>
      <c r="G15" s="27" t="str">
        <f>_xlfn.IFNA(VLOOKUP($C15&amp;","&amp;G3,$C$34:$D$112,2,FALSE),"-1")</f>
        <v>-1</v>
      </c>
      <c r="H15" s="27" t="str">
        <f>_xlfn.IFNA(VLOOKUP($C15&amp;","&amp;H3,$C$34:$D$112,2,FALSE),"-1")</f>
        <v>-1</v>
      </c>
      <c r="I15" s="27" t="str">
        <f>_xlfn.IFNA(VLOOKUP($C15&amp;","&amp;I3,$C$34:$D$112,2,FALSE),"-1")</f>
        <v>-1</v>
      </c>
      <c r="J15" s="27" t="str">
        <f>_xlfn.IFNA(VLOOKUP($C15&amp;","&amp;J3,$C$34:$D$112,2,FALSE),"-1")</f>
        <v>-1</v>
      </c>
      <c r="K15" s="27" t="str">
        <f>_xlfn.IFNA(VLOOKUP($C15&amp;","&amp;K3,$C$34:$D$112,2,FALSE),"-1")</f>
        <v>-1</v>
      </c>
      <c r="L15" s="27" t="str">
        <f>_xlfn.IFNA(VLOOKUP($C15&amp;","&amp;L3,$C$34:$D$112,2,FALSE),"-1")</f>
        <v>-1</v>
      </c>
      <c r="M15" s="27" t="str">
        <f>_xlfn.IFNA(VLOOKUP($C15&amp;","&amp;M3,$C$34:$D$112,2,FALSE),"-1")</f>
        <v>-1</v>
      </c>
      <c r="N15" s="27" t="str">
        <f>_xlfn.IFNA(VLOOKUP($C15&amp;","&amp;N3,$C$34:$D$112,2,FALSE),"-1")</f>
        <v>-1</v>
      </c>
      <c r="O15" s="27" t="str">
        <f>_xlfn.IFNA(VLOOKUP($C15&amp;","&amp;O3,$C$34:$D$112,2,FALSE),"-1")</f>
        <v>-1</v>
      </c>
      <c r="P15" s="27" t="str">
        <f>_xlfn.IFNA(VLOOKUP($C15&amp;","&amp;P3,$C$34:$D$112,2,FALSE),"-1")</f>
        <v>-1</v>
      </c>
      <c r="Q15" s="27" t="str">
        <f>_xlfn.IFNA(VLOOKUP($C15&amp;","&amp;Q3,$C$34:$D$112,2,FALSE),"-1")</f>
        <v>-1</v>
      </c>
      <c r="R15" s="27" t="str">
        <f>_xlfn.IFNA(VLOOKUP($C15&amp;","&amp;R3,$C$34:$D$112,2,FALSE),"-1")</f>
        <v>-1</v>
      </c>
      <c r="S15" s="27" t="str">
        <f>_xlfn.IFNA(VLOOKUP($C15&amp;","&amp;S3,$C$34:$D$112,2,FALSE),"-1")</f>
        <v>-1</v>
      </c>
      <c r="T15" s="27" t="str">
        <f>_xlfn.IFNA(VLOOKUP($C15&amp;","&amp;T3,$C$34:$D$112,2,FALSE),"-1")</f>
        <v>-1</v>
      </c>
      <c r="U15" s="27" t="str">
        <f>_xlfn.IFNA(VLOOKUP($C15&amp;","&amp;U3,$C$34:$D$112,2,FALSE),"-1")</f>
        <v>-1</v>
      </c>
      <c r="V15" s="27" t="str">
        <f>_xlfn.IFNA(VLOOKUP($C15&amp;","&amp;V3,$C$34:$D$112,2,FALSE),"-1")</f>
        <v>-1</v>
      </c>
      <c r="W15" s="27" t="str">
        <f>_xlfn.IFNA(VLOOKUP($C15&amp;","&amp;W3,$C$34:$D$112,2,FALSE),"-1")</f>
        <v>-1</v>
      </c>
      <c r="X15" s="27" t="str">
        <f>_xlfn.IFNA(VLOOKUP($C15&amp;","&amp;X3,$C$34:$D$112,2,FALSE),"-1")</f>
        <v>-1</v>
      </c>
      <c r="Y15" s="27" t="str">
        <f>_xlfn.IFNA(VLOOKUP($C15&amp;","&amp;Y3,$C$34:$D$112,2,FALSE),"-1")</f>
        <v>-1</v>
      </c>
      <c r="Z15" s="27" t="str">
        <f>_xlfn.IFNA(VLOOKUP($C15&amp;","&amp;Z3,$C$34:$D$112,2,FALSE),"-1")</f>
        <v>-1</v>
      </c>
      <c r="AA15" s="27" t="str">
        <f>_xlfn.IFNA(VLOOKUP($C15&amp;","&amp;AA3,$C$34:$D$112,2,FALSE),"-1")</f>
        <v>-1</v>
      </c>
      <c r="AB15" s="50" t="str">
        <f>_xlfn.IFNA(VLOOKUP($C15&amp;","&amp;AB3,$C$34:$D$112,2,FALSE),"-1")</f>
        <v>-1</v>
      </c>
    </row>
    <row r="16" ht="20" customHeight="1" spans="1:28">
      <c r="A16" s="16">
        <v>2</v>
      </c>
      <c r="B16" s="15">
        <f t="shared" si="2"/>
        <v>12</v>
      </c>
      <c r="C16" s="19" t="s">
        <v>931</v>
      </c>
      <c r="D16" s="18" t="str">
        <f t="shared" si="3"/>
        <v>C</v>
      </c>
      <c r="E16" s="44" t="str">
        <f>_xlfn.IFNA(VLOOKUP($C16&amp;","&amp;E3,$C$34:$D$112,2,FALSE),"-1")</f>
        <v>58</v>
      </c>
      <c r="F16" s="27" t="str">
        <f>_xlfn.IFNA(VLOOKUP($C16&amp;","&amp;F3,$C$34:$D$112,2,FALSE),"-1")</f>
        <v>-1</v>
      </c>
      <c r="G16" s="27" t="str">
        <f>_xlfn.IFNA(VLOOKUP($C16&amp;","&amp;G3,$C$34:$D$112,2,FALSE),"-1")</f>
        <v>-1</v>
      </c>
      <c r="H16" s="27" t="str">
        <f>_xlfn.IFNA(VLOOKUP($C16&amp;","&amp;H3,$C$34:$D$112,2,FALSE),"-1")</f>
        <v>-1</v>
      </c>
      <c r="I16" s="27" t="str">
        <f>_xlfn.IFNA(VLOOKUP($C16&amp;","&amp;I3,$C$34:$D$112,2,FALSE),"-1")</f>
        <v>-1</v>
      </c>
      <c r="J16" s="27" t="str">
        <f>_xlfn.IFNA(VLOOKUP($C16&amp;","&amp;J3,$C$34:$D$112,2,FALSE),"-1")</f>
        <v>-1</v>
      </c>
      <c r="K16" s="27" t="str">
        <f>_xlfn.IFNA(VLOOKUP($C16&amp;","&amp;K3,$C$34:$D$112,2,FALSE),"-1")</f>
        <v>-1</v>
      </c>
      <c r="L16" s="27" t="str">
        <f>_xlfn.IFNA(VLOOKUP($C16&amp;","&amp;L3,$C$34:$D$112,2,FALSE),"-1")</f>
        <v>-1</v>
      </c>
      <c r="M16" s="27" t="str">
        <f>_xlfn.IFNA(VLOOKUP($C16&amp;","&amp;M3,$C$34:$D$112,2,FALSE),"-1")</f>
        <v>-1</v>
      </c>
      <c r="N16" s="27" t="str">
        <f>_xlfn.IFNA(VLOOKUP($C16&amp;","&amp;N3,$C$34:$D$112,2,FALSE),"-1")</f>
        <v>-1</v>
      </c>
      <c r="O16" s="27" t="str">
        <f>_xlfn.IFNA(VLOOKUP($C16&amp;","&amp;O3,$C$34:$D$112,2,FALSE),"-1")</f>
        <v>-1</v>
      </c>
      <c r="P16" s="27" t="str">
        <f>_xlfn.IFNA(VLOOKUP($C16&amp;","&amp;P3,$C$34:$D$112,2,FALSE),"-1")</f>
        <v>56</v>
      </c>
      <c r="Q16" s="27" t="str">
        <f>_xlfn.IFNA(VLOOKUP($C16&amp;","&amp;Q3,$C$34:$D$112,2,FALSE),"-1")</f>
        <v>57</v>
      </c>
      <c r="R16" s="27" t="str">
        <f>_xlfn.IFNA(VLOOKUP($C16&amp;","&amp;R3,$C$34:$D$112,2,FALSE),"-1")</f>
        <v>-1</v>
      </c>
      <c r="S16" s="27" t="str">
        <f>_xlfn.IFNA(VLOOKUP($C16&amp;","&amp;S3,$C$34:$D$112,2,FALSE),"-1")</f>
        <v>-1</v>
      </c>
      <c r="T16" s="27" t="str">
        <f>_xlfn.IFNA(VLOOKUP($C16&amp;","&amp;T3,$C$34:$D$112,2,FALSE),"-1")</f>
        <v>-1</v>
      </c>
      <c r="U16" s="27" t="str">
        <f>_xlfn.IFNA(VLOOKUP($C16&amp;","&amp;U3,$C$34:$D$112,2,FALSE),"-1")</f>
        <v>-1</v>
      </c>
      <c r="V16" s="27" t="str">
        <f>_xlfn.IFNA(VLOOKUP($C16&amp;","&amp;V3,$C$34:$D$112,2,FALSE),"-1")</f>
        <v>55</v>
      </c>
      <c r="W16" s="27" t="str">
        <f>_xlfn.IFNA(VLOOKUP($C16&amp;","&amp;W3,$C$34:$D$112,2,FALSE),"-1")</f>
        <v>-1</v>
      </c>
      <c r="X16" s="27" t="str">
        <f>_xlfn.IFNA(VLOOKUP($C16&amp;","&amp;X3,$C$34:$D$112,2,FALSE),"-1")</f>
        <v>-1</v>
      </c>
      <c r="Y16" s="27" t="str">
        <f>_xlfn.IFNA(VLOOKUP($C16&amp;","&amp;Y3,$C$34:$D$112,2,FALSE),"-1")</f>
        <v>-1</v>
      </c>
      <c r="Z16" s="27" t="str">
        <f>_xlfn.IFNA(VLOOKUP($C16&amp;","&amp;Z3,$C$34:$D$112,2,FALSE),"-1")</f>
        <v>-1</v>
      </c>
      <c r="AA16" s="27" t="str">
        <f>_xlfn.IFNA(VLOOKUP($C16&amp;","&amp;AA3,$C$34:$D$112,2,FALSE),"-1")</f>
        <v>-1</v>
      </c>
      <c r="AB16" s="50" t="str">
        <f>_xlfn.IFNA(VLOOKUP($C16&amp;","&amp;AB3,$C$34:$D$112,2,FALSE),"-1")</f>
        <v>-1</v>
      </c>
    </row>
    <row r="17" ht="20" customHeight="1" spans="1:28">
      <c r="A17" s="16">
        <v>2</v>
      </c>
      <c r="B17" s="15">
        <f t="shared" si="2"/>
        <v>13</v>
      </c>
      <c r="C17" s="19" t="s">
        <v>932</v>
      </c>
      <c r="D17" s="18" t="str">
        <f t="shared" si="3"/>
        <v>D</v>
      </c>
      <c r="E17" s="44" t="str">
        <f>_xlfn.IFNA(VLOOKUP($C17&amp;","&amp;E3,$C$34:$D$112,2,FALSE),"-1")</f>
        <v>59</v>
      </c>
      <c r="F17" s="27" t="str">
        <f>_xlfn.IFNA(VLOOKUP($C17&amp;","&amp;F3,$C$34:$D$112,2,FALSE),"-1")</f>
        <v>-1</v>
      </c>
      <c r="G17" s="27" t="str">
        <f>_xlfn.IFNA(VLOOKUP($C17&amp;","&amp;G3,$C$34:$D$112,2,FALSE),"-1")</f>
        <v>-1</v>
      </c>
      <c r="H17" s="27" t="str">
        <f>_xlfn.IFNA(VLOOKUP($C17&amp;","&amp;H3,$C$34:$D$112,2,FALSE),"-1")</f>
        <v>-1</v>
      </c>
      <c r="I17" s="27" t="str">
        <f>_xlfn.IFNA(VLOOKUP($C17&amp;","&amp;I3,$C$34:$D$112,2,FALSE),"-1")</f>
        <v>-1</v>
      </c>
      <c r="J17" s="27" t="str">
        <f>_xlfn.IFNA(VLOOKUP($C17&amp;","&amp;J3,$C$34:$D$112,2,FALSE),"-1")</f>
        <v>-1</v>
      </c>
      <c r="K17" s="27" t="str">
        <f>_xlfn.IFNA(VLOOKUP($C17&amp;","&amp;K3,$C$34:$D$112,2,FALSE),"-1")</f>
        <v>-1</v>
      </c>
      <c r="L17" s="27" t="str">
        <f>_xlfn.IFNA(VLOOKUP($C17&amp;","&amp;L3,$C$34:$D$112,2,FALSE),"-1")</f>
        <v>-1</v>
      </c>
      <c r="M17" s="27" t="str">
        <f>_xlfn.IFNA(VLOOKUP($C17&amp;","&amp;M3,$C$34:$D$112,2,FALSE),"-1")</f>
        <v>-1</v>
      </c>
      <c r="N17" s="27" t="str">
        <f>_xlfn.IFNA(VLOOKUP($C17&amp;","&amp;N3,$C$34:$D$112,2,FALSE),"-1")</f>
        <v>-1</v>
      </c>
      <c r="O17" s="27" t="str">
        <f>_xlfn.IFNA(VLOOKUP($C17&amp;","&amp;O3,$C$34:$D$112,2,FALSE),"-1")</f>
        <v>5B</v>
      </c>
      <c r="P17" s="27" t="str">
        <f>_xlfn.IFNA(VLOOKUP($C17&amp;","&amp;P3,$C$34:$D$112,2,FALSE),"-1")</f>
        <v>-1</v>
      </c>
      <c r="Q17" s="27" t="str">
        <f>_xlfn.IFNA(VLOOKUP($C17&amp;","&amp;Q3,$C$34:$D$112,2,FALSE),"-1")</f>
        <v>-1</v>
      </c>
      <c r="R17" s="27" t="str">
        <f>_xlfn.IFNA(VLOOKUP($C17&amp;","&amp;R3,$C$34:$D$112,2,FALSE),"-1")</f>
        <v>-1</v>
      </c>
      <c r="S17" s="27" t="str">
        <f>_xlfn.IFNA(VLOOKUP($C17&amp;","&amp;S3,$C$34:$D$112,2,FALSE),"-1")</f>
        <v>-1</v>
      </c>
      <c r="T17" s="27" t="str">
        <f>_xlfn.IFNA(VLOOKUP($C17&amp;","&amp;T3,$C$34:$D$112,2,FALSE),"-1")</f>
        <v>-1</v>
      </c>
      <c r="U17" s="27" t="str">
        <f>_xlfn.IFNA(VLOOKUP($C17&amp;","&amp;U3,$C$34:$D$112,2,FALSE),"-1")</f>
        <v>-1</v>
      </c>
      <c r="V17" s="27" t="str">
        <f>_xlfn.IFNA(VLOOKUP($C17&amp;","&amp;V3,$C$34:$D$112,2,FALSE),"-1")</f>
        <v>-1</v>
      </c>
      <c r="W17" s="27" t="str">
        <f>_xlfn.IFNA(VLOOKUP($C17&amp;","&amp;W3,$C$34:$D$112,2,FALSE),"-1")</f>
        <v>-1</v>
      </c>
      <c r="X17" s="27" t="str">
        <f>_xlfn.IFNA(VLOOKUP($C17&amp;","&amp;X3,$C$34:$D$112,2,FALSE),"-1")</f>
        <v>-1</v>
      </c>
      <c r="Y17" s="27" t="str">
        <f>_xlfn.IFNA(VLOOKUP($C17&amp;","&amp;Y3,$C$34:$D$112,2,FALSE),"-1")</f>
        <v>-1</v>
      </c>
      <c r="Z17" s="27" t="str">
        <f>_xlfn.IFNA(VLOOKUP($C17&amp;","&amp;Z3,$C$34:$D$112,2,FALSE),"-1")</f>
        <v>5A</v>
      </c>
      <c r="AA17" s="27" t="str">
        <f>_xlfn.IFNA(VLOOKUP($C17&amp;","&amp;AA3,$C$34:$D$112,2,FALSE),"-1")</f>
        <v>-1</v>
      </c>
      <c r="AB17" s="50" t="str">
        <f>_xlfn.IFNA(VLOOKUP($C17&amp;","&amp;AB3,$C$34:$D$112,2,FALSE),"-1")</f>
        <v>-1</v>
      </c>
    </row>
    <row r="18" ht="20" customHeight="1" spans="1:28">
      <c r="A18" s="16">
        <v>2</v>
      </c>
      <c r="B18" s="15">
        <f t="shared" ref="B18:B27" si="4">ROW()-4</f>
        <v>14</v>
      </c>
      <c r="C18" s="19" t="s">
        <v>933</v>
      </c>
      <c r="D18" s="18" t="str">
        <f t="shared" si="3"/>
        <v>E</v>
      </c>
      <c r="E18" s="44" t="str">
        <f>_xlfn.IFNA(VLOOKUP($C18&amp;","&amp;E3,$C$34:$D$112,2,FALSE),"-1")</f>
        <v>5C</v>
      </c>
      <c r="F18" s="27" t="str">
        <f>_xlfn.IFNA(VLOOKUP($C18&amp;","&amp;F3,$C$34:$D$112,2,FALSE),"-1")</f>
        <v>-1</v>
      </c>
      <c r="G18" s="27" t="str">
        <f>_xlfn.IFNA(VLOOKUP($C18&amp;","&amp;G3,$C$34:$D$112,2,FALSE),"-1")</f>
        <v>-1</v>
      </c>
      <c r="H18" s="27" t="str">
        <f>_xlfn.IFNA(VLOOKUP($C18&amp;","&amp;H3,$C$34:$D$112,2,FALSE),"-1")</f>
        <v>-1</v>
      </c>
      <c r="I18" s="27" t="str">
        <f>_xlfn.IFNA(VLOOKUP($C18&amp;","&amp;I3,$C$34:$D$112,2,FALSE),"-1")</f>
        <v>-1</v>
      </c>
      <c r="J18" s="27" t="str">
        <f>_xlfn.IFNA(VLOOKUP($C18&amp;","&amp;J3,$C$34:$D$112,2,FALSE),"-1")</f>
        <v>-1</v>
      </c>
      <c r="K18" s="27" t="str">
        <f>_xlfn.IFNA(VLOOKUP($C18&amp;","&amp;K3,$C$34:$D$112,2,FALSE),"-1")</f>
        <v>-1</v>
      </c>
      <c r="L18" s="27" t="str">
        <f>_xlfn.IFNA(VLOOKUP($C18&amp;","&amp;L3,$C$34:$D$112,2,FALSE),"-1")</f>
        <v>-1</v>
      </c>
      <c r="M18" s="27" t="str">
        <f>_xlfn.IFNA(VLOOKUP($C18&amp;","&amp;M3,$C$34:$D$112,2,FALSE),"-1")</f>
        <v>-1</v>
      </c>
      <c r="N18" s="27" t="str">
        <f>_xlfn.IFNA(VLOOKUP($C18&amp;","&amp;N3,$C$34:$D$112,2,FALSE),"-1")</f>
        <v>-1</v>
      </c>
      <c r="O18" s="27" t="str">
        <f>_xlfn.IFNA(VLOOKUP($C18&amp;","&amp;O3,$C$34:$D$112,2,FALSE),"-1")</f>
        <v>-1</v>
      </c>
      <c r="P18" s="27" t="str">
        <f>_xlfn.IFNA(VLOOKUP($C18&amp;","&amp;P3,$C$34:$D$112,2,FALSE),"-1")</f>
        <v>-1</v>
      </c>
      <c r="Q18" s="27" t="str">
        <f>_xlfn.IFNA(VLOOKUP($C18&amp;","&amp;Q3,$C$34:$D$112,2,FALSE),"-1")</f>
        <v>-1</v>
      </c>
      <c r="R18" s="27" t="str">
        <f>_xlfn.IFNA(VLOOKUP($C18&amp;","&amp;R3,$C$34:$D$112,2,FALSE),"-1")</f>
        <v>-1</v>
      </c>
      <c r="S18" s="27" t="str">
        <f>_xlfn.IFNA(VLOOKUP($C18&amp;","&amp;S3,$C$34:$D$112,2,FALSE),"-1")</f>
        <v>-1</v>
      </c>
      <c r="T18" s="27" t="str">
        <f>_xlfn.IFNA(VLOOKUP($C18&amp;","&amp;T3,$C$34:$D$112,2,FALSE),"-1")</f>
        <v>-1</v>
      </c>
      <c r="U18" s="27" t="str">
        <f>_xlfn.IFNA(VLOOKUP($C18&amp;","&amp;U3,$C$34:$D$112,2,FALSE),"-1")</f>
        <v>-1</v>
      </c>
      <c r="V18" s="27" t="str">
        <f>_xlfn.IFNA(VLOOKUP($C18&amp;","&amp;V3,$C$34:$D$112,2,FALSE),"-1")</f>
        <v>-1</v>
      </c>
      <c r="W18" s="27" t="str">
        <f>_xlfn.IFNA(VLOOKUP($C18&amp;","&amp;W3,$C$34:$D$112,2,FALSE),"-1")</f>
        <v>-1</v>
      </c>
      <c r="X18" s="27" t="str">
        <f>_xlfn.IFNA(VLOOKUP($C18&amp;","&amp;X3,$C$34:$D$112,2,FALSE),"-1")</f>
        <v>-1</v>
      </c>
      <c r="Y18" s="27" t="str">
        <f>_xlfn.IFNA(VLOOKUP($C18&amp;","&amp;Y3,$C$34:$D$112,2,FALSE),"-1")</f>
        <v>-1</v>
      </c>
      <c r="Z18" s="27" t="str">
        <f>_xlfn.IFNA(VLOOKUP($C18&amp;","&amp;Z3,$C$34:$D$112,2,FALSE),"-1")</f>
        <v>-1</v>
      </c>
      <c r="AA18" s="27" t="str">
        <f>_xlfn.IFNA(VLOOKUP($C18&amp;","&amp;AA3,$C$34:$D$112,2,FALSE),"-1")</f>
        <v>-1</v>
      </c>
      <c r="AB18" s="50" t="str">
        <f>_xlfn.IFNA(VLOOKUP($C18&amp;","&amp;AB3,$C$34:$D$112,2,FALSE),"-1")</f>
        <v>-1</v>
      </c>
    </row>
    <row r="19" ht="20" customHeight="1" spans="1:28">
      <c r="A19" s="16">
        <v>2</v>
      </c>
      <c r="B19" s="15">
        <f t="shared" si="4"/>
        <v>15</v>
      </c>
      <c r="C19" s="19" t="s">
        <v>934</v>
      </c>
      <c r="D19" s="18" t="str">
        <f t="shared" si="3"/>
        <v>F</v>
      </c>
      <c r="E19" s="44" t="str">
        <f>_xlfn.IFNA(VLOOKUP($C19&amp;","&amp;E3,$C$34:$D$112,2,FALSE),"-1")</f>
        <v>5D</v>
      </c>
      <c r="F19" s="27" t="str">
        <f>_xlfn.IFNA(VLOOKUP($C19&amp;","&amp;F3,$C$34:$D$112,2,FALSE),"-1")</f>
        <v>-1</v>
      </c>
      <c r="G19" s="27" t="str">
        <f>_xlfn.IFNA(VLOOKUP($C19&amp;","&amp;G3,$C$34:$D$112,2,FALSE),"-1")</f>
        <v>-1</v>
      </c>
      <c r="H19" s="27" t="str">
        <f>_xlfn.IFNA(VLOOKUP($C19&amp;","&amp;H3,$C$34:$D$112,2,FALSE),"-1")</f>
        <v>-1</v>
      </c>
      <c r="I19" s="27" t="str">
        <f>_xlfn.IFNA(VLOOKUP($C19&amp;","&amp;I3,$C$34:$D$112,2,FALSE),"-1")</f>
        <v>-1</v>
      </c>
      <c r="J19" s="27" t="str">
        <f>_xlfn.IFNA(VLOOKUP($C19&amp;","&amp;J3,$C$34:$D$112,2,FALSE),"-1")</f>
        <v>-1</v>
      </c>
      <c r="K19" s="27" t="str">
        <f>_xlfn.IFNA(VLOOKUP($C19&amp;","&amp;K3,$C$34:$D$112,2,FALSE),"-1")</f>
        <v>-1</v>
      </c>
      <c r="L19" s="27" t="str">
        <f>_xlfn.IFNA(VLOOKUP($C19&amp;","&amp;L3,$C$34:$D$112,2,FALSE),"-1")</f>
        <v>-1</v>
      </c>
      <c r="M19" s="27" t="str">
        <f>_xlfn.IFNA(VLOOKUP($C19&amp;","&amp;M3,$C$34:$D$112,2,FALSE),"-1")</f>
        <v>-1</v>
      </c>
      <c r="N19" s="27" t="str">
        <f>_xlfn.IFNA(VLOOKUP($C19&amp;","&amp;N3,$C$34:$D$112,2,FALSE),"-1")</f>
        <v>-1</v>
      </c>
      <c r="O19" s="27" t="str">
        <f>_xlfn.IFNA(VLOOKUP($C19&amp;","&amp;O3,$C$34:$D$112,2,FALSE),"-1")</f>
        <v>-1</v>
      </c>
      <c r="P19" s="27" t="str">
        <f>_xlfn.IFNA(VLOOKUP($C19&amp;","&amp;P3,$C$34:$D$112,2,FALSE),"-1")</f>
        <v>-1</v>
      </c>
      <c r="Q19" s="27" t="str">
        <f>_xlfn.IFNA(VLOOKUP($C19&amp;","&amp;Q3,$C$34:$D$112,2,FALSE),"-1")</f>
        <v>-1</v>
      </c>
      <c r="R19" s="27" t="str">
        <f>_xlfn.IFNA(VLOOKUP($C19&amp;","&amp;R3,$C$34:$D$112,2,FALSE),"-1")</f>
        <v>-1</v>
      </c>
      <c r="S19" s="27" t="str">
        <f>_xlfn.IFNA(VLOOKUP($C19&amp;","&amp;S3,$C$34:$D$112,2,FALSE),"-1")</f>
        <v>-1</v>
      </c>
      <c r="T19" s="27" t="str">
        <f>_xlfn.IFNA(VLOOKUP($C19&amp;","&amp;T3,$C$34:$D$112,2,FALSE),"-1")</f>
        <v>-1</v>
      </c>
      <c r="U19" s="27" t="str">
        <f>_xlfn.IFNA(VLOOKUP($C19&amp;","&amp;U3,$C$34:$D$112,2,FALSE),"-1")</f>
        <v>-1</v>
      </c>
      <c r="V19" s="27" t="str">
        <f>_xlfn.IFNA(VLOOKUP($C19&amp;","&amp;V3,$C$34:$D$112,2,FALSE),"-1")</f>
        <v>-1</v>
      </c>
      <c r="W19" s="27" t="str">
        <f>_xlfn.IFNA(VLOOKUP($C19&amp;","&amp;W3,$C$34:$D$112,2,FALSE),"-1")</f>
        <v>-1</v>
      </c>
      <c r="X19" s="27" t="str">
        <f>_xlfn.IFNA(VLOOKUP($C19&amp;","&amp;X3,$C$34:$D$112,2,FALSE),"-1")</f>
        <v>-1</v>
      </c>
      <c r="Y19" s="27" t="str">
        <f>_xlfn.IFNA(VLOOKUP($C19&amp;","&amp;Y3,$C$34:$D$112,2,FALSE),"-1")</f>
        <v>-1</v>
      </c>
      <c r="Z19" s="27" t="str">
        <f>_xlfn.IFNA(VLOOKUP($C19&amp;","&amp;Z3,$C$34:$D$112,2,FALSE),"-1")</f>
        <v>-1</v>
      </c>
      <c r="AA19" s="27" t="str">
        <f>_xlfn.IFNA(VLOOKUP($C19&amp;","&amp;AA3,$C$34:$D$112,2,FALSE),"-1")</f>
        <v>-1</v>
      </c>
      <c r="AB19" s="50" t="str">
        <f>_xlfn.IFNA(VLOOKUP($C19&amp;","&amp;AB3,$C$34:$D$112,2,FALSE),"-1")</f>
        <v>-1</v>
      </c>
    </row>
    <row r="20" ht="20" customHeight="1" spans="1:28">
      <c r="A20" s="16">
        <v>2</v>
      </c>
      <c r="B20" s="15">
        <f t="shared" si="4"/>
        <v>16</v>
      </c>
      <c r="C20" s="19" t="s">
        <v>935</v>
      </c>
      <c r="D20" s="18" t="str">
        <f t="shared" si="3"/>
        <v>10</v>
      </c>
      <c r="E20" s="44" t="str">
        <f>_xlfn.IFNA(VLOOKUP($C20&amp;","&amp;E3,$C$34:$D$112,2,FALSE),"-1")</f>
        <v>5E</v>
      </c>
      <c r="F20" s="27" t="str">
        <f>_xlfn.IFNA(VLOOKUP($C20&amp;","&amp;F3,$C$34:$D$112,2,FALSE),"-1")</f>
        <v>-1</v>
      </c>
      <c r="G20" s="27" t="str">
        <f>_xlfn.IFNA(VLOOKUP($C20&amp;","&amp;G3,$C$34:$D$112,2,FALSE),"-1")</f>
        <v>-1</v>
      </c>
      <c r="H20" s="27" t="str">
        <f>_xlfn.IFNA(VLOOKUP($C20&amp;","&amp;H3,$C$34:$D$112,2,FALSE),"-1")</f>
        <v>-1</v>
      </c>
      <c r="I20" s="27" t="str">
        <f>_xlfn.IFNA(VLOOKUP($C20&amp;","&amp;I3,$C$34:$D$112,2,FALSE),"-1")</f>
        <v>-1</v>
      </c>
      <c r="J20" s="27" t="str">
        <f>_xlfn.IFNA(VLOOKUP($C20&amp;","&amp;J3,$C$34:$D$112,2,FALSE),"-1")</f>
        <v>-1</v>
      </c>
      <c r="K20" s="27" t="str">
        <f>_xlfn.IFNA(VLOOKUP($C20&amp;","&amp;K3,$C$34:$D$112,2,FALSE),"-1")</f>
        <v>-1</v>
      </c>
      <c r="L20" s="27" t="str">
        <f>_xlfn.IFNA(VLOOKUP($C20&amp;","&amp;L3,$C$34:$D$112,2,FALSE),"-1")</f>
        <v>-1</v>
      </c>
      <c r="M20" s="27" t="str">
        <f>_xlfn.IFNA(VLOOKUP($C20&amp;","&amp;M3,$C$34:$D$112,2,FALSE),"-1")</f>
        <v>-1</v>
      </c>
      <c r="N20" s="27" t="str">
        <f>_xlfn.IFNA(VLOOKUP($C20&amp;","&amp;N3,$C$34:$D$112,2,FALSE),"-1")</f>
        <v>-1</v>
      </c>
      <c r="O20" s="27" t="str">
        <f>_xlfn.IFNA(VLOOKUP($C20&amp;","&amp;O3,$C$34:$D$112,2,FALSE),"-1")</f>
        <v>-1</v>
      </c>
      <c r="P20" s="27" t="str">
        <f>_xlfn.IFNA(VLOOKUP($C20&amp;","&amp;P3,$C$34:$D$112,2,FALSE),"-1")</f>
        <v>-1</v>
      </c>
      <c r="Q20" s="27" t="str">
        <f>_xlfn.IFNA(VLOOKUP($C20&amp;","&amp;Q3,$C$34:$D$112,2,FALSE),"-1")</f>
        <v>-1</v>
      </c>
      <c r="R20" s="27" t="str">
        <f>_xlfn.IFNA(VLOOKUP($C20&amp;","&amp;R3,$C$34:$D$112,2,FALSE),"-1")</f>
        <v>-1</v>
      </c>
      <c r="S20" s="27" t="str">
        <f>_xlfn.IFNA(VLOOKUP($C20&amp;","&amp;S3,$C$34:$D$112,2,FALSE),"-1")</f>
        <v>-1</v>
      </c>
      <c r="T20" s="27" t="str">
        <f>_xlfn.IFNA(VLOOKUP($C20&amp;","&amp;T3,$C$34:$D$112,2,FALSE),"-1")</f>
        <v>-1</v>
      </c>
      <c r="U20" s="27" t="str">
        <f>_xlfn.IFNA(VLOOKUP($C20&amp;","&amp;U3,$C$34:$D$112,2,FALSE),"-1")</f>
        <v>-1</v>
      </c>
      <c r="V20" s="27" t="str">
        <f>_xlfn.IFNA(VLOOKUP($C20&amp;","&amp;V3,$C$34:$D$112,2,FALSE),"-1")</f>
        <v>-1</v>
      </c>
      <c r="W20" s="27" t="str">
        <f>_xlfn.IFNA(VLOOKUP($C20&amp;","&amp;W3,$C$34:$D$112,2,FALSE),"-1")</f>
        <v>-1</v>
      </c>
      <c r="X20" s="27" t="str">
        <f>_xlfn.IFNA(VLOOKUP($C20&amp;","&amp;X3,$C$34:$D$112,2,FALSE),"-1")</f>
        <v>-1</v>
      </c>
      <c r="Y20" s="27" t="str">
        <f>_xlfn.IFNA(VLOOKUP($C20&amp;","&amp;Y3,$C$34:$D$112,2,FALSE),"-1")</f>
        <v>-1</v>
      </c>
      <c r="Z20" s="27" t="str">
        <f>_xlfn.IFNA(VLOOKUP($C20&amp;","&amp;Z3,$C$34:$D$112,2,FALSE),"-1")</f>
        <v>-1</v>
      </c>
      <c r="AA20" s="27" t="str">
        <f>_xlfn.IFNA(VLOOKUP($C20&amp;","&amp;AA3,$C$34:$D$112,2,FALSE),"-1")</f>
        <v>-1</v>
      </c>
      <c r="AB20" s="50" t="str">
        <f>_xlfn.IFNA(VLOOKUP($C20&amp;","&amp;AB3,$C$34:$D$112,2,FALSE),"-1")</f>
        <v>-1</v>
      </c>
    </row>
    <row r="21" ht="20" customHeight="1" spans="1:28">
      <c r="A21" s="16">
        <v>2</v>
      </c>
      <c r="B21" s="15">
        <f t="shared" si="4"/>
        <v>17</v>
      </c>
      <c r="C21" s="19" t="s">
        <v>936</v>
      </c>
      <c r="D21" s="18" t="str">
        <f t="shared" si="3"/>
        <v>11</v>
      </c>
      <c r="E21" s="45" t="str">
        <f>_xlfn.IFNA(VLOOKUP($C21&amp;","&amp;E3,$C$34:$D$112,2,FALSE),"-1")</f>
        <v>5F</v>
      </c>
      <c r="F21" s="28" t="str">
        <f>_xlfn.IFNA(VLOOKUP($C21&amp;","&amp;F3,$C$34:$D$112,2,FALSE),"-1")</f>
        <v>-1</v>
      </c>
      <c r="G21" s="28" t="str">
        <f>_xlfn.IFNA(VLOOKUP($C21&amp;","&amp;G3,$C$34:$D$112,2,FALSE),"-1")</f>
        <v>-1</v>
      </c>
      <c r="H21" s="28" t="str">
        <f>_xlfn.IFNA(VLOOKUP($C21&amp;","&amp;H3,$C$34:$D$112,2,FALSE),"-1")</f>
        <v>-1</v>
      </c>
      <c r="I21" s="28" t="str">
        <f>_xlfn.IFNA(VLOOKUP($C21&amp;","&amp;I3,$C$34:$D$112,2,FALSE),"-1")</f>
        <v>-1</v>
      </c>
      <c r="J21" s="28" t="str">
        <f>_xlfn.IFNA(VLOOKUP($C21&amp;","&amp;J3,$C$34:$D$112,2,FALSE),"-1")</f>
        <v>-1</v>
      </c>
      <c r="K21" s="28" t="str">
        <f>_xlfn.IFNA(VLOOKUP($C21&amp;","&amp;K3,$C$34:$D$112,2,FALSE),"-1")</f>
        <v>-1</v>
      </c>
      <c r="L21" s="28" t="str">
        <f>_xlfn.IFNA(VLOOKUP($C21&amp;","&amp;L3,$C$34:$D$112,2,FALSE),"-1")</f>
        <v>-1</v>
      </c>
      <c r="M21" s="28" t="str">
        <f>_xlfn.IFNA(VLOOKUP($C21&amp;","&amp;M3,$C$34:$D$112,2,FALSE),"-1")</f>
        <v>-1</v>
      </c>
      <c r="N21" s="28" t="str">
        <f>_xlfn.IFNA(VLOOKUP($C21&amp;","&amp;N3,$C$34:$D$112,2,FALSE),"-1")</f>
        <v>-1</v>
      </c>
      <c r="O21" s="28" t="str">
        <f>_xlfn.IFNA(VLOOKUP($C21&amp;","&amp;O3,$C$34:$D$112,2,FALSE),"-1")</f>
        <v>60</v>
      </c>
      <c r="P21" s="28" t="str">
        <f>_xlfn.IFNA(VLOOKUP($C21&amp;","&amp;P3,$C$34:$D$112,2,FALSE),"-1")</f>
        <v>-1</v>
      </c>
      <c r="Q21" s="28" t="str">
        <f>_xlfn.IFNA(VLOOKUP($C21&amp;","&amp;Q3,$C$34:$D$112,2,FALSE),"-1")</f>
        <v>-1</v>
      </c>
      <c r="R21" s="28" t="str">
        <f>_xlfn.IFNA(VLOOKUP($C21&amp;","&amp;R3,$C$34:$D$112,2,FALSE),"-1")</f>
        <v>-1</v>
      </c>
      <c r="S21" s="28" t="str">
        <f>_xlfn.IFNA(VLOOKUP($C21&amp;","&amp;S3,$C$34:$D$112,2,FALSE),"-1")</f>
        <v>-1</v>
      </c>
      <c r="T21" s="28" t="str">
        <f>_xlfn.IFNA(VLOOKUP($C21&amp;","&amp;T3,$C$34:$D$112,2,FALSE),"-1")</f>
        <v>-1</v>
      </c>
      <c r="U21" s="28" t="str">
        <f>_xlfn.IFNA(VLOOKUP($C21&amp;","&amp;U3,$C$34:$D$112,2,FALSE),"-1")</f>
        <v>-1</v>
      </c>
      <c r="V21" s="28" t="str">
        <f>_xlfn.IFNA(VLOOKUP($C21&amp;","&amp;V3,$C$34:$D$112,2,FALSE),"-1")</f>
        <v>-1</v>
      </c>
      <c r="W21" s="28" t="str">
        <f>_xlfn.IFNA(VLOOKUP($C21&amp;","&amp;W3,$C$34:$D$112,2,FALSE),"-1")</f>
        <v>-1</v>
      </c>
      <c r="X21" s="28" t="str">
        <f>_xlfn.IFNA(VLOOKUP($C21&amp;","&amp;X3,$C$34:$D$112,2,FALSE),"-1")</f>
        <v>-1</v>
      </c>
      <c r="Y21" s="28" t="str">
        <f>_xlfn.IFNA(VLOOKUP($C21&amp;","&amp;Y3,$C$34:$D$112,2,FALSE),"-1")</f>
        <v>-1</v>
      </c>
      <c r="Z21" s="28" t="str">
        <f>_xlfn.IFNA(VLOOKUP($C21&amp;","&amp;Z3,$C$34:$D$112,2,FALSE),"-1")</f>
        <v>-1</v>
      </c>
      <c r="AA21" s="28" t="str">
        <f>_xlfn.IFNA(VLOOKUP($C21&amp;","&amp;AA3,$C$34:$D$112,2,FALSE),"-1")</f>
        <v>-1</v>
      </c>
      <c r="AB21" s="51" t="str">
        <f>_xlfn.IFNA(VLOOKUP($C21&amp;","&amp;AB3,$C$34:$D$112,2,FALSE),"-1")</f>
        <v>-1</v>
      </c>
    </row>
    <row r="22" ht="20" customHeight="1" spans="1:28">
      <c r="A22" s="16">
        <v>3</v>
      </c>
      <c r="B22" s="15">
        <f t="shared" si="4"/>
        <v>18</v>
      </c>
      <c r="C22" s="19" t="s">
        <v>937</v>
      </c>
      <c r="D22" s="18" t="str">
        <f t="shared" si="3"/>
        <v>12</v>
      </c>
      <c r="E22" s="27" t="str">
        <f>_xlfn.IFNA(VLOOKUP($C22&amp;","&amp;E3,$C$23:$D$112,2,FALSE),"-1")</f>
        <v>15</v>
      </c>
      <c r="F22" s="27" t="str">
        <f t="shared" ref="F22:AB22" si="5">_xlfn.IFNA(VLOOKUP($C22&amp;","&amp;F3,$C$23:$D$112,2,FALSE),"-1")</f>
        <v>16</v>
      </c>
      <c r="G22" s="27" t="str">
        <f t="shared" si="5"/>
        <v>17</v>
      </c>
      <c r="H22" s="27" t="str">
        <f t="shared" si="5"/>
        <v>18</v>
      </c>
      <c r="I22" s="27" t="str">
        <f t="shared" si="5"/>
        <v>19</v>
      </c>
      <c r="J22" s="27" t="str">
        <f t="shared" si="5"/>
        <v>1A</v>
      </c>
      <c r="K22" s="27" t="str">
        <f t="shared" si="5"/>
        <v>1B</v>
      </c>
      <c r="L22" s="27" t="str">
        <f t="shared" si="5"/>
        <v>1C</v>
      </c>
      <c r="M22" s="27" t="str">
        <f t="shared" si="5"/>
        <v>1D</v>
      </c>
      <c r="N22" s="27" t="str">
        <f t="shared" si="5"/>
        <v>-1</v>
      </c>
      <c r="O22" s="27" t="str">
        <f t="shared" si="5"/>
        <v>-1</v>
      </c>
      <c r="P22" s="27" t="str">
        <f t="shared" si="5"/>
        <v>13</v>
      </c>
      <c r="Q22" s="27" t="str">
        <f t="shared" si="5"/>
        <v>14</v>
      </c>
      <c r="R22" s="27" t="str">
        <f t="shared" si="5"/>
        <v>-1</v>
      </c>
      <c r="S22" s="27" t="str">
        <f t="shared" si="5"/>
        <v>-1</v>
      </c>
      <c r="T22" s="27" t="str">
        <f t="shared" si="5"/>
        <v>-1</v>
      </c>
      <c r="U22" s="27" t="str">
        <f t="shared" si="5"/>
        <v>-1</v>
      </c>
      <c r="V22" s="27" t="str">
        <f t="shared" si="5"/>
        <v>-1</v>
      </c>
      <c r="W22" s="27" t="str">
        <f t="shared" si="5"/>
        <v>-1</v>
      </c>
      <c r="X22" s="27" t="str">
        <f t="shared" si="5"/>
        <v>-1</v>
      </c>
      <c r="Y22" s="27" t="str">
        <f t="shared" si="5"/>
        <v>-1</v>
      </c>
      <c r="Z22" s="27" t="str">
        <f t="shared" si="5"/>
        <v>-1</v>
      </c>
      <c r="AA22" s="27" t="str">
        <f t="shared" si="5"/>
        <v>-1</v>
      </c>
      <c r="AB22" s="27" t="str">
        <f t="shared" si="5"/>
        <v>-1</v>
      </c>
    </row>
    <row r="23" ht="20" customHeight="1" spans="1:28">
      <c r="A23" s="16">
        <v>3</v>
      </c>
      <c r="B23" s="15">
        <f t="shared" si="4"/>
        <v>19</v>
      </c>
      <c r="C23" s="19" t="s">
        <v>938</v>
      </c>
      <c r="D23" s="18" t="str">
        <f t="shared" ref="D23:D54" si="6">DEC2HEX(B23)</f>
        <v>13</v>
      </c>
      <c r="E23" s="46" t="str">
        <f>_xlfn.IFNA(VLOOKUP($C23&amp;","&amp;E3,$C$34:$D$112,2,FALSE),"-1")</f>
        <v>-1</v>
      </c>
      <c r="F23" s="47" t="str">
        <f>_xlfn.IFNA(VLOOKUP($C23&amp;","&amp;F3,$C$34:$D$112,2,FALSE),"-1")</f>
        <v>-1</v>
      </c>
      <c r="G23" s="47" t="str">
        <f>_xlfn.IFNA(VLOOKUP($C23&amp;","&amp;G3,$C$34:$D$112,2,FALSE),"-1")</f>
        <v>-1</v>
      </c>
      <c r="H23" s="47" t="str">
        <f>_xlfn.IFNA(VLOOKUP($C23&amp;","&amp;H3,$C$34:$D$112,2,FALSE),"-1")</f>
        <v>-1</v>
      </c>
      <c r="I23" s="47" t="str">
        <f>_xlfn.IFNA(VLOOKUP($C23&amp;","&amp;I3,$C$34:$D$112,2,FALSE),"-1")</f>
        <v>-1</v>
      </c>
      <c r="J23" s="47" t="str">
        <f>_xlfn.IFNA(VLOOKUP($C23&amp;","&amp;J3,$C$34:$D$112,2,FALSE),"-1")</f>
        <v>-1</v>
      </c>
      <c r="K23" s="47" t="str">
        <f>_xlfn.IFNA(VLOOKUP($C23&amp;","&amp;K3,$C$34:$D$112,2,FALSE),"-1")</f>
        <v>-1</v>
      </c>
      <c r="L23" s="47" t="str">
        <f>_xlfn.IFNA(VLOOKUP($C23&amp;","&amp;L3,$C$34:$D$112,2,FALSE),"-1")</f>
        <v>-1</v>
      </c>
      <c r="M23" s="47" t="str">
        <f>_xlfn.IFNA(VLOOKUP($C23&amp;","&amp;M3,$C$34:$D$112,2,FALSE),"-1")</f>
        <v>-1</v>
      </c>
      <c r="N23" s="47" t="str">
        <f>_xlfn.IFNA(VLOOKUP($C23&amp;","&amp;N3,$C$34:$D$112,2,FALSE),"-1")</f>
        <v>61</v>
      </c>
      <c r="O23" s="47" t="str">
        <f>_xlfn.IFNA(VLOOKUP($C23&amp;","&amp;O3,$C$34:$D$112,2,FALSE),"-1")</f>
        <v>-1</v>
      </c>
      <c r="P23" s="47" t="str">
        <f>_xlfn.IFNA(VLOOKUP($C23&amp;","&amp;P3,$C$34:$D$112,2,FALSE),"-1")</f>
        <v>-1</v>
      </c>
      <c r="Q23" s="47" t="str">
        <f>_xlfn.IFNA(VLOOKUP($C23&amp;","&amp;Q3,$C$34:$D$112,2,FALSE),"-1")</f>
        <v>-1</v>
      </c>
      <c r="R23" s="47" t="str">
        <f>_xlfn.IFNA(VLOOKUP($C23&amp;","&amp;R3,$C$34:$D$112,2,FALSE),"-1")</f>
        <v>-1</v>
      </c>
      <c r="S23" s="47" t="str">
        <f>_xlfn.IFNA(VLOOKUP($C23&amp;","&amp;S3,$C$34:$D$112,2,FALSE),"-1")</f>
        <v>-1</v>
      </c>
      <c r="T23" s="47" t="str">
        <f>_xlfn.IFNA(VLOOKUP($C23&amp;","&amp;T3,$C$34:$D$112,2,FALSE),"-1")</f>
        <v>-1</v>
      </c>
      <c r="U23" s="47" t="str">
        <f>_xlfn.IFNA(VLOOKUP($C23&amp;","&amp;U3,$C$34:$D$112,2,FALSE),"-1")</f>
        <v>-1</v>
      </c>
      <c r="V23" s="47" t="str">
        <f>_xlfn.IFNA(VLOOKUP($C23&amp;","&amp;V3,$C$34:$D$112,2,FALSE),"-1")</f>
        <v>-1</v>
      </c>
      <c r="W23" s="47" t="str">
        <f>_xlfn.IFNA(VLOOKUP($C23&amp;","&amp;W3,$C$34:$D$112,2,FALSE),"-1")</f>
        <v>-1</v>
      </c>
      <c r="X23" s="47" t="str">
        <f>_xlfn.IFNA(VLOOKUP($C23&amp;","&amp;X3,$C$34:$D$112,2,FALSE),"-1")</f>
        <v>-1</v>
      </c>
      <c r="Y23" s="47" t="str">
        <f>_xlfn.IFNA(VLOOKUP($C23&amp;","&amp;Y3,$C$34:$D$112,2,FALSE),"-1")</f>
        <v>-1</v>
      </c>
      <c r="Z23" s="47" t="str">
        <f>_xlfn.IFNA(VLOOKUP($C23&amp;","&amp;Z3,$C$34:$D$112,2,FALSE),"-1")</f>
        <v>-1</v>
      </c>
      <c r="AA23" s="47" t="str">
        <f>_xlfn.IFNA(VLOOKUP($C23&amp;","&amp;AA3,$C$34:$D$112,2,FALSE),"-1")</f>
        <v>-1</v>
      </c>
      <c r="AB23" s="52" t="str">
        <f>_xlfn.IFNA(VLOOKUP($C23&amp;","&amp;AB3,$C$34:$D$112,2,FALSE),"-1")</f>
        <v>-1</v>
      </c>
    </row>
    <row r="24" ht="20" customHeight="1" spans="1:28">
      <c r="A24" s="16">
        <v>3</v>
      </c>
      <c r="B24" s="15">
        <f t="shared" si="4"/>
        <v>20</v>
      </c>
      <c r="C24" s="19" t="s">
        <v>939</v>
      </c>
      <c r="D24" s="18" t="str">
        <f t="shared" si="6"/>
        <v>14</v>
      </c>
      <c r="E24" s="44" t="str">
        <f>_xlfn.IFNA(VLOOKUP($C24&amp;","&amp;E3,$C$34:$D$112,2,FALSE),"-1")</f>
        <v>-1</v>
      </c>
      <c r="F24" s="27" t="str">
        <f>_xlfn.IFNA(VLOOKUP($C24&amp;","&amp;F3,$C$34:$D$112,2,FALSE),"-1")</f>
        <v>-1</v>
      </c>
      <c r="G24" s="27" t="str">
        <f>_xlfn.IFNA(VLOOKUP($C24&amp;","&amp;G3,$C$34:$D$112,2,FALSE),"-1")</f>
        <v>-1</v>
      </c>
      <c r="H24" s="27" t="str">
        <f>_xlfn.IFNA(VLOOKUP($C24&amp;","&amp;H3,$C$34:$D$112,2,FALSE),"-1")</f>
        <v>-1</v>
      </c>
      <c r="I24" s="27" t="str">
        <f>_xlfn.IFNA(VLOOKUP($C24&amp;","&amp;I3,$C$34:$D$112,2,FALSE),"-1")</f>
        <v>-1</v>
      </c>
      <c r="J24" s="27" t="str">
        <f>_xlfn.IFNA(VLOOKUP($C24&amp;","&amp;J3,$C$34:$D$112,2,FALSE),"-1")</f>
        <v>-1</v>
      </c>
      <c r="K24" s="27" t="str">
        <f>_xlfn.IFNA(VLOOKUP($C24&amp;","&amp;K3,$C$34:$D$112,2,FALSE),"-1")</f>
        <v>-1</v>
      </c>
      <c r="L24" s="27" t="str">
        <f>_xlfn.IFNA(VLOOKUP($C24&amp;","&amp;L3,$C$34:$D$112,2,FALSE),"-1")</f>
        <v>-1</v>
      </c>
      <c r="M24" s="27" t="str">
        <f>_xlfn.IFNA(VLOOKUP($C24&amp;","&amp;M3,$C$34:$D$112,2,FALSE),"-1")</f>
        <v>-1</v>
      </c>
      <c r="N24" s="27" t="str">
        <f>_xlfn.IFNA(VLOOKUP($C24&amp;","&amp;N3,$C$34:$D$112,2,FALSE),"-1")</f>
        <v>62</v>
      </c>
      <c r="O24" s="27" t="str">
        <f>_xlfn.IFNA(VLOOKUP($C24&amp;","&amp;O3,$C$34:$D$112,2,FALSE),"-1")</f>
        <v>-1</v>
      </c>
      <c r="P24" s="27" t="str">
        <f>_xlfn.IFNA(VLOOKUP($C24&amp;","&amp;P3,$C$34:$D$112,2,FALSE),"-1")</f>
        <v>-1</v>
      </c>
      <c r="Q24" s="27" t="str">
        <f>_xlfn.IFNA(VLOOKUP($C24&amp;","&amp;Q3,$C$34:$D$112,2,FALSE),"-1")</f>
        <v>-1</v>
      </c>
      <c r="R24" s="27" t="str">
        <f>_xlfn.IFNA(VLOOKUP($C24&amp;","&amp;R3,$C$34:$D$112,2,FALSE),"-1")</f>
        <v>-1</v>
      </c>
      <c r="S24" s="27" t="str">
        <f>_xlfn.IFNA(VLOOKUP($C24&amp;","&amp;S3,$C$34:$D$112,2,FALSE),"-1")</f>
        <v>-1</v>
      </c>
      <c r="T24" s="27" t="str">
        <f>_xlfn.IFNA(VLOOKUP($C24&amp;","&amp;T3,$C$34:$D$112,2,FALSE),"-1")</f>
        <v>-1</v>
      </c>
      <c r="U24" s="27" t="str">
        <f>_xlfn.IFNA(VLOOKUP($C24&amp;","&amp;U3,$C$34:$D$112,2,FALSE),"-1")</f>
        <v>-1</v>
      </c>
      <c r="V24" s="27" t="str">
        <f>_xlfn.IFNA(VLOOKUP($C24&amp;","&amp;V3,$C$34:$D$112,2,FALSE),"-1")</f>
        <v>-1</v>
      </c>
      <c r="W24" s="27" t="str">
        <f>_xlfn.IFNA(VLOOKUP($C24&amp;","&amp;W3,$C$34:$D$112,2,FALSE),"-1")</f>
        <v>-1</v>
      </c>
      <c r="X24" s="27" t="str">
        <f>_xlfn.IFNA(VLOOKUP($C24&amp;","&amp;X3,$C$34:$D$112,2,FALSE),"-1")</f>
        <v>-1</v>
      </c>
      <c r="Y24" s="27" t="str">
        <f>_xlfn.IFNA(VLOOKUP($C24&amp;","&amp;Y3,$C$34:$D$112,2,FALSE),"-1")</f>
        <v>-1</v>
      </c>
      <c r="Z24" s="27" t="str">
        <f>_xlfn.IFNA(VLOOKUP($C24&amp;","&amp;Z3,$C$34:$D$112,2,FALSE),"-1")</f>
        <v>-1</v>
      </c>
      <c r="AA24" s="27" t="str">
        <f>_xlfn.IFNA(VLOOKUP($C24&amp;","&amp;AA3,$C$34:$D$112,2,FALSE),"-1")</f>
        <v>-1</v>
      </c>
      <c r="AB24" s="50" t="str">
        <f>_xlfn.IFNA(VLOOKUP($C24&amp;","&amp;AB3,$C$34:$D$112,2,FALSE),"-1")</f>
        <v>-1</v>
      </c>
    </row>
    <row r="25" ht="20" customHeight="1" spans="1:28">
      <c r="A25" s="16">
        <v>3</v>
      </c>
      <c r="B25" s="15">
        <f t="shared" si="4"/>
        <v>21</v>
      </c>
      <c r="C25" s="19" t="s">
        <v>940</v>
      </c>
      <c r="D25" s="18" t="str">
        <f t="shared" si="6"/>
        <v>15</v>
      </c>
      <c r="E25" s="44" t="str">
        <f>_xlfn.IFNA(VLOOKUP($C25&amp;","&amp;E3,$C$34:$D$112,2,FALSE),"-1")</f>
        <v>-1</v>
      </c>
      <c r="F25" s="27" t="str">
        <f>_xlfn.IFNA(VLOOKUP($C25&amp;","&amp;F3,$C$34:$D$112,2,FALSE),"-1")</f>
        <v>-1</v>
      </c>
      <c r="G25" s="27" t="str">
        <f>_xlfn.IFNA(VLOOKUP($C25&amp;","&amp;G3,$C$34:$D$112,2,FALSE),"-1")</f>
        <v>-1</v>
      </c>
      <c r="H25" s="27" t="str">
        <f>_xlfn.IFNA(VLOOKUP($C25&amp;","&amp;H3,$C$34:$D$112,2,FALSE),"-1")</f>
        <v>-1</v>
      </c>
      <c r="I25" s="27" t="str">
        <f>_xlfn.IFNA(VLOOKUP($C25&amp;","&amp;I3,$C$34:$D$112,2,FALSE),"-1")</f>
        <v>-1</v>
      </c>
      <c r="J25" s="27" t="str">
        <f>_xlfn.IFNA(VLOOKUP($C25&amp;","&amp;J3,$C$34:$D$112,2,FALSE),"-1")</f>
        <v>-1</v>
      </c>
      <c r="K25" s="27" t="str">
        <f>_xlfn.IFNA(VLOOKUP($C25&amp;","&amp;K3,$C$34:$D$112,2,FALSE),"-1")</f>
        <v>-1</v>
      </c>
      <c r="L25" s="27" t="str">
        <f>_xlfn.IFNA(VLOOKUP($C25&amp;","&amp;L3,$C$34:$D$112,2,FALSE),"-1")</f>
        <v>-1</v>
      </c>
      <c r="M25" s="27" t="str">
        <f>_xlfn.IFNA(VLOOKUP($C25&amp;","&amp;M3,$C$34:$D$112,2,FALSE),"-1")</f>
        <v>-1</v>
      </c>
      <c r="N25" s="27" t="str">
        <f>_xlfn.IFNA(VLOOKUP($C25&amp;","&amp;N3,$C$34:$D$112,2,FALSE),"-1")</f>
        <v>63</v>
      </c>
      <c r="O25" s="27" t="str">
        <f>_xlfn.IFNA(VLOOKUP($C25&amp;","&amp;O3,$C$34:$D$112,2,FALSE),"-1")</f>
        <v>64</v>
      </c>
      <c r="P25" s="27" t="str">
        <f>_xlfn.IFNA(VLOOKUP($C25&amp;","&amp;P3,$C$34:$D$112,2,FALSE),"-1")</f>
        <v>-1</v>
      </c>
      <c r="Q25" s="27" t="str">
        <f>_xlfn.IFNA(VLOOKUP($C25&amp;","&amp;Q3,$C$34:$D$112,2,FALSE),"-1")</f>
        <v>-1</v>
      </c>
      <c r="R25" s="27" t="str">
        <f>_xlfn.IFNA(VLOOKUP($C25&amp;","&amp;R3,$C$34:$D$112,2,FALSE),"-1")</f>
        <v>-1</v>
      </c>
      <c r="S25" s="27" t="str">
        <f>_xlfn.IFNA(VLOOKUP($C25&amp;","&amp;S3,$C$34:$D$112,2,FALSE),"-1")</f>
        <v>-1</v>
      </c>
      <c r="T25" s="27" t="str">
        <f>_xlfn.IFNA(VLOOKUP($C25&amp;","&amp;T3,$C$34:$D$112,2,FALSE),"-1")</f>
        <v>-1</v>
      </c>
      <c r="U25" s="27" t="str">
        <f>_xlfn.IFNA(VLOOKUP($C25&amp;","&amp;U3,$C$34:$D$112,2,FALSE),"-1")</f>
        <v>-1</v>
      </c>
      <c r="V25" s="27" t="str">
        <f>_xlfn.IFNA(VLOOKUP($C25&amp;","&amp;V3,$C$34:$D$112,2,FALSE),"-1")</f>
        <v>-1</v>
      </c>
      <c r="W25" s="27" t="str">
        <f>_xlfn.IFNA(VLOOKUP($C25&amp;","&amp;W3,$C$34:$D$112,2,FALSE),"-1")</f>
        <v>-1</v>
      </c>
      <c r="X25" s="27" t="str">
        <f>_xlfn.IFNA(VLOOKUP($C25&amp;","&amp;X3,$C$34:$D$112,2,FALSE),"-1")</f>
        <v>-1</v>
      </c>
      <c r="Y25" s="27" t="str">
        <f>_xlfn.IFNA(VLOOKUP($C25&amp;","&amp;Y3,$C$34:$D$112,2,FALSE),"-1")</f>
        <v>-1</v>
      </c>
      <c r="Z25" s="27" t="str">
        <f>_xlfn.IFNA(VLOOKUP($C25&amp;","&amp;Z3,$C$34:$D$112,2,FALSE),"-1")</f>
        <v>-1</v>
      </c>
      <c r="AA25" s="27" t="str">
        <f>_xlfn.IFNA(VLOOKUP($C25&amp;","&amp;AA3,$C$34:$D$112,2,FALSE),"-1")</f>
        <v>-1</v>
      </c>
      <c r="AB25" s="50" t="str">
        <f>_xlfn.IFNA(VLOOKUP($C25&amp;","&amp;AB3,$C$34:$D$112,2,FALSE),"-1")</f>
        <v>-1</v>
      </c>
    </row>
    <row r="26" ht="20" customHeight="1" spans="1:28">
      <c r="A26" s="16">
        <v>3</v>
      </c>
      <c r="B26" s="15">
        <f t="shared" si="4"/>
        <v>22</v>
      </c>
      <c r="C26" s="19" t="s">
        <v>941</v>
      </c>
      <c r="D26" s="18" t="str">
        <f t="shared" si="6"/>
        <v>16</v>
      </c>
      <c r="E26" s="44" t="str">
        <f>_xlfn.IFNA(VLOOKUP($C26&amp;","&amp;E3,$C$34:$D$112,2,FALSE),"-1")</f>
        <v>-1</v>
      </c>
      <c r="F26" s="27" t="str">
        <f>_xlfn.IFNA(VLOOKUP($C26&amp;","&amp;F3,$C$34:$D$112,2,FALSE),"-1")</f>
        <v>-1</v>
      </c>
      <c r="G26" s="27" t="str">
        <f>_xlfn.IFNA(VLOOKUP($C26&amp;","&amp;G3,$C$34:$D$112,2,FALSE),"-1")</f>
        <v>-1</v>
      </c>
      <c r="H26" s="27" t="str">
        <f>_xlfn.IFNA(VLOOKUP($C26&amp;","&amp;H3,$C$34:$D$112,2,FALSE),"-1")</f>
        <v>-1</v>
      </c>
      <c r="I26" s="27" t="str">
        <f>_xlfn.IFNA(VLOOKUP($C26&amp;","&amp;I3,$C$34:$D$112,2,FALSE),"-1")</f>
        <v>-1</v>
      </c>
      <c r="J26" s="27" t="str">
        <f>_xlfn.IFNA(VLOOKUP($C26&amp;","&amp;J3,$C$34:$D$112,2,FALSE),"-1")</f>
        <v>-1</v>
      </c>
      <c r="K26" s="27" t="str">
        <f>_xlfn.IFNA(VLOOKUP($C26&amp;","&amp;K3,$C$34:$D$112,2,FALSE),"-1")</f>
        <v>-1</v>
      </c>
      <c r="L26" s="27" t="str">
        <f>_xlfn.IFNA(VLOOKUP($C26&amp;","&amp;L3,$C$34:$D$112,2,FALSE),"-1")</f>
        <v>-1</v>
      </c>
      <c r="M26" s="27" t="str">
        <f>_xlfn.IFNA(VLOOKUP($C26&amp;","&amp;M3,$C$34:$D$112,2,FALSE),"-1")</f>
        <v>-1</v>
      </c>
      <c r="N26" s="27" t="str">
        <f>_xlfn.IFNA(VLOOKUP($C26&amp;","&amp;N3,$C$34:$D$112,2,FALSE),"-1")</f>
        <v>65</v>
      </c>
      <c r="O26" s="27" t="str">
        <f>_xlfn.IFNA(VLOOKUP($C26&amp;","&amp;O3,$C$34:$D$112,2,FALSE),"-1")</f>
        <v>-1</v>
      </c>
      <c r="P26" s="27" t="str">
        <f>_xlfn.IFNA(VLOOKUP($C26&amp;","&amp;P3,$C$34:$D$112,2,FALSE),"-1")</f>
        <v>-1</v>
      </c>
      <c r="Q26" s="27" t="str">
        <f>_xlfn.IFNA(VLOOKUP($C26&amp;","&amp;Q3,$C$34:$D$112,2,FALSE),"-1")</f>
        <v>-1</v>
      </c>
      <c r="R26" s="27" t="str">
        <f>_xlfn.IFNA(VLOOKUP($C26&amp;","&amp;R3,$C$34:$D$112,2,FALSE),"-1")</f>
        <v>-1</v>
      </c>
      <c r="S26" s="27" t="str">
        <f>_xlfn.IFNA(VLOOKUP($C26&amp;","&amp;S3,$C$34:$D$112,2,FALSE),"-1")</f>
        <v>-1</v>
      </c>
      <c r="T26" s="27" t="str">
        <f>_xlfn.IFNA(VLOOKUP($C26&amp;","&amp;T3,$C$34:$D$112,2,FALSE),"-1")</f>
        <v>-1</v>
      </c>
      <c r="U26" s="27" t="str">
        <f>_xlfn.IFNA(VLOOKUP($C26&amp;","&amp;U3,$C$34:$D$112,2,FALSE),"-1")</f>
        <v>-1</v>
      </c>
      <c r="V26" s="27" t="str">
        <f>_xlfn.IFNA(VLOOKUP($C26&amp;","&amp;V3,$C$34:$D$112,2,FALSE),"-1")</f>
        <v>-1</v>
      </c>
      <c r="W26" s="27" t="str">
        <f>_xlfn.IFNA(VLOOKUP($C26&amp;","&amp;W3,$C$34:$D$112,2,FALSE),"-1")</f>
        <v>-1</v>
      </c>
      <c r="X26" s="27" t="str">
        <f>_xlfn.IFNA(VLOOKUP($C26&amp;","&amp;X3,$C$34:$D$112,2,FALSE),"-1")</f>
        <v>-1</v>
      </c>
      <c r="Y26" s="27" t="str">
        <f>_xlfn.IFNA(VLOOKUP($C26&amp;","&amp;Y3,$C$34:$D$112,2,FALSE),"-1")</f>
        <v>-1</v>
      </c>
      <c r="Z26" s="27" t="str">
        <f>_xlfn.IFNA(VLOOKUP($C26&amp;","&amp;Z3,$C$34:$D$112,2,FALSE),"-1")</f>
        <v>-1</v>
      </c>
      <c r="AA26" s="27" t="str">
        <f>_xlfn.IFNA(VLOOKUP($C26&amp;","&amp;AA3,$C$34:$D$112,2,FALSE),"-1")</f>
        <v>-1</v>
      </c>
      <c r="AB26" s="50" t="str">
        <f>_xlfn.IFNA(VLOOKUP($C26&amp;","&amp;AB3,$C$34:$D$112,2,FALSE),"-1")</f>
        <v>-1</v>
      </c>
    </row>
    <row r="27" ht="20" customHeight="1" spans="1:28">
      <c r="A27" s="16">
        <v>3</v>
      </c>
      <c r="B27" s="15">
        <f t="shared" si="4"/>
        <v>23</v>
      </c>
      <c r="C27" s="19" t="s">
        <v>942</v>
      </c>
      <c r="D27" s="18" t="str">
        <f t="shared" si="6"/>
        <v>17</v>
      </c>
      <c r="E27" s="44" t="str">
        <f>_xlfn.IFNA(VLOOKUP($C27&amp;","&amp;E3,$C$34:$D$112,2,FALSE),"-1")</f>
        <v>-1</v>
      </c>
      <c r="F27" s="27" t="str">
        <f>_xlfn.IFNA(VLOOKUP($C27&amp;","&amp;F3,$C$34:$D$112,2,FALSE),"-1")</f>
        <v>-1</v>
      </c>
      <c r="G27" s="27" t="str">
        <f>_xlfn.IFNA(VLOOKUP($C27&amp;","&amp;G3,$C$34:$D$112,2,FALSE),"-1")</f>
        <v>-1</v>
      </c>
      <c r="H27" s="27" t="str">
        <f>_xlfn.IFNA(VLOOKUP($C27&amp;","&amp;H3,$C$34:$D$112,2,FALSE),"-1")</f>
        <v>-1</v>
      </c>
      <c r="I27" s="27" t="str">
        <f>_xlfn.IFNA(VLOOKUP($C27&amp;","&amp;I3,$C$34:$D$112,2,FALSE),"-1")</f>
        <v>-1</v>
      </c>
      <c r="J27" s="27" t="str">
        <f>_xlfn.IFNA(VLOOKUP($C27&amp;","&amp;J3,$C$34:$D$112,2,FALSE),"-1")</f>
        <v>-1</v>
      </c>
      <c r="K27" s="27" t="str">
        <f>_xlfn.IFNA(VLOOKUP($C27&amp;","&amp;K3,$C$34:$D$112,2,FALSE),"-1")</f>
        <v>-1</v>
      </c>
      <c r="L27" s="27" t="str">
        <f>_xlfn.IFNA(VLOOKUP($C27&amp;","&amp;L3,$C$34:$D$112,2,FALSE),"-1")</f>
        <v>-1</v>
      </c>
      <c r="M27" s="27" t="str">
        <f>_xlfn.IFNA(VLOOKUP($C27&amp;","&amp;M3,$C$34:$D$112,2,FALSE),"-1")</f>
        <v>-1</v>
      </c>
      <c r="N27" s="27" t="str">
        <f>_xlfn.IFNA(VLOOKUP($C27&amp;","&amp;N3,$C$34:$D$112,2,FALSE),"-1")</f>
        <v>66</v>
      </c>
      <c r="O27" s="27" t="str">
        <f>_xlfn.IFNA(VLOOKUP($C27&amp;","&amp;O3,$C$34:$D$112,2,FALSE),"-1")</f>
        <v>-1</v>
      </c>
      <c r="P27" s="27" t="str">
        <f>_xlfn.IFNA(VLOOKUP($C27&amp;","&amp;P3,$C$34:$D$112,2,FALSE),"-1")</f>
        <v>-1</v>
      </c>
      <c r="Q27" s="27" t="str">
        <f>_xlfn.IFNA(VLOOKUP($C27&amp;","&amp;Q3,$C$34:$D$112,2,FALSE),"-1")</f>
        <v>-1</v>
      </c>
      <c r="R27" s="27" t="str">
        <f>_xlfn.IFNA(VLOOKUP($C27&amp;","&amp;R3,$C$34:$D$112,2,FALSE),"-1")</f>
        <v>-1</v>
      </c>
      <c r="S27" s="27" t="str">
        <f>_xlfn.IFNA(VLOOKUP($C27&amp;","&amp;S3,$C$34:$D$112,2,FALSE),"-1")</f>
        <v>-1</v>
      </c>
      <c r="T27" s="27" t="str">
        <f>_xlfn.IFNA(VLOOKUP($C27&amp;","&amp;T3,$C$34:$D$112,2,FALSE),"-1")</f>
        <v>-1</v>
      </c>
      <c r="U27" s="27" t="str">
        <f>_xlfn.IFNA(VLOOKUP($C27&amp;","&amp;U3,$C$34:$D$112,2,FALSE),"-1")</f>
        <v>-1</v>
      </c>
      <c r="V27" s="27" t="str">
        <f>_xlfn.IFNA(VLOOKUP($C27&amp;","&amp;V3,$C$34:$D$112,2,FALSE),"-1")</f>
        <v>-1</v>
      </c>
      <c r="W27" s="27" t="str">
        <f>_xlfn.IFNA(VLOOKUP($C27&amp;","&amp;W3,$C$34:$D$112,2,FALSE),"-1")</f>
        <v>-1</v>
      </c>
      <c r="X27" s="27" t="str">
        <f>_xlfn.IFNA(VLOOKUP($C27&amp;","&amp;X3,$C$34:$D$112,2,FALSE),"-1")</f>
        <v>-1</v>
      </c>
      <c r="Y27" s="27" t="str">
        <f>_xlfn.IFNA(VLOOKUP($C27&amp;","&amp;Y3,$C$34:$D$112,2,FALSE),"-1")</f>
        <v>-1</v>
      </c>
      <c r="Z27" s="27" t="str">
        <f>_xlfn.IFNA(VLOOKUP($C27&amp;","&amp;Z3,$C$34:$D$112,2,FALSE),"-1")</f>
        <v>-1</v>
      </c>
      <c r="AA27" s="27" t="str">
        <f>_xlfn.IFNA(VLOOKUP($C27&amp;","&amp;AA3,$C$34:$D$112,2,FALSE),"-1")</f>
        <v>-1</v>
      </c>
      <c r="AB27" s="50" t="str">
        <f>_xlfn.IFNA(VLOOKUP($C27&amp;","&amp;AB3,$C$34:$D$112,2,FALSE),"-1")</f>
        <v>-1</v>
      </c>
    </row>
    <row r="28" ht="20" customHeight="1" spans="1:28">
      <c r="A28" s="16">
        <v>3</v>
      </c>
      <c r="B28" s="15">
        <f t="shared" ref="B28:B37" si="7">ROW()-4</f>
        <v>24</v>
      </c>
      <c r="C28" s="19" t="s">
        <v>943</v>
      </c>
      <c r="D28" s="18" t="str">
        <f t="shared" si="6"/>
        <v>18</v>
      </c>
      <c r="E28" s="44" t="str">
        <f>_xlfn.IFNA(VLOOKUP($C28&amp;","&amp;E3,$C$34:$D$112,2,FALSE),"-1")</f>
        <v>-1</v>
      </c>
      <c r="F28" s="27" t="str">
        <f>_xlfn.IFNA(VLOOKUP($C28&amp;","&amp;F3,$C$34:$D$112,2,FALSE),"-1")</f>
        <v>-1</v>
      </c>
      <c r="G28" s="27" t="str">
        <f>_xlfn.IFNA(VLOOKUP($C28&amp;","&amp;G3,$C$34:$D$112,2,FALSE),"-1")</f>
        <v>-1</v>
      </c>
      <c r="H28" s="27" t="str">
        <f>_xlfn.IFNA(VLOOKUP($C28&amp;","&amp;H3,$C$34:$D$112,2,FALSE),"-1")</f>
        <v>-1</v>
      </c>
      <c r="I28" s="27" t="str">
        <f>_xlfn.IFNA(VLOOKUP($C28&amp;","&amp;I3,$C$34:$D$112,2,FALSE),"-1")</f>
        <v>-1</v>
      </c>
      <c r="J28" s="27" t="str">
        <f>_xlfn.IFNA(VLOOKUP($C28&amp;","&amp;J3,$C$34:$D$112,2,FALSE),"-1")</f>
        <v>-1</v>
      </c>
      <c r="K28" s="27" t="str">
        <f>_xlfn.IFNA(VLOOKUP($C28&amp;","&amp;K3,$C$34:$D$112,2,FALSE),"-1")</f>
        <v>-1</v>
      </c>
      <c r="L28" s="27" t="str">
        <f>_xlfn.IFNA(VLOOKUP($C28&amp;","&amp;L3,$C$34:$D$112,2,FALSE),"-1")</f>
        <v>-1</v>
      </c>
      <c r="M28" s="27" t="str">
        <f>_xlfn.IFNA(VLOOKUP($C28&amp;","&amp;M3,$C$34:$D$112,2,FALSE),"-1")</f>
        <v>-1</v>
      </c>
      <c r="N28" s="27" t="str">
        <f>_xlfn.IFNA(VLOOKUP($C28&amp;","&amp;N3,$C$34:$D$112,2,FALSE),"-1")</f>
        <v>67</v>
      </c>
      <c r="O28" s="27" t="str">
        <f>_xlfn.IFNA(VLOOKUP($C28&amp;","&amp;O3,$C$34:$D$112,2,FALSE),"-1")</f>
        <v>-1</v>
      </c>
      <c r="P28" s="27" t="str">
        <f>_xlfn.IFNA(VLOOKUP($C28&amp;","&amp;P3,$C$34:$D$112,2,FALSE),"-1")</f>
        <v>-1</v>
      </c>
      <c r="Q28" s="27" t="str">
        <f>_xlfn.IFNA(VLOOKUP($C28&amp;","&amp;Q3,$C$34:$D$112,2,FALSE),"-1")</f>
        <v>-1</v>
      </c>
      <c r="R28" s="27" t="str">
        <f>_xlfn.IFNA(VLOOKUP($C28&amp;","&amp;R3,$C$34:$D$112,2,FALSE),"-1")</f>
        <v>-1</v>
      </c>
      <c r="S28" s="27" t="str">
        <f>_xlfn.IFNA(VLOOKUP($C28&amp;","&amp;S3,$C$34:$D$112,2,FALSE),"-1")</f>
        <v>-1</v>
      </c>
      <c r="T28" s="27" t="str">
        <f>_xlfn.IFNA(VLOOKUP($C28&amp;","&amp;T3,$C$34:$D$112,2,FALSE),"-1")</f>
        <v>-1</v>
      </c>
      <c r="U28" s="27" t="str">
        <f>_xlfn.IFNA(VLOOKUP($C28&amp;","&amp;U3,$C$34:$D$112,2,FALSE),"-1")</f>
        <v>-1</v>
      </c>
      <c r="V28" s="27" t="str">
        <f>_xlfn.IFNA(VLOOKUP($C28&amp;","&amp;V3,$C$34:$D$112,2,FALSE),"-1")</f>
        <v>-1</v>
      </c>
      <c r="W28" s="27" t="str">
        <f>_xlfn.IFNA(VLOOKUP($C28&amp;","&amp;W3,$C$34:$D$112,2,FALSE),"-1")</f>
        <v>-1</v>
      </c>
      <c r="X28" s="27" t="str">
        <f>_xlfn.IFNA(VLOOKUP($C28&amp;","&amp;X3,$C$34:$D$112,2,FALSE),"-1")</f>
        <v>-1</v>
      </c>
      <c r="Y28" s="27" t="str">
        <f>_xlfn.IFNA(VLOOKUP($C28&amp;","&amp;Y3,$C$34:$D$112,2,FALSE),"-1")</f>
        <v>-1</v>
      </c>
      <c r="Z28" s="27" t="str">
        <f>_xlfn.IFNA(VLOOKUP($C28&amp;","&amp;Z3,$C$34:$D$112,2,FALSE),"-1")</f>
        <v>-1</v>
      </c>
      <c r="AA28" s="27" t="str">
        <f>_xlfn.IFNA(VLOOKUP($C28&amp;","&amp;AA3,$C$34:$D$112,2,FALSE),"-1")</f>
        <v>-1</v>
      </c>
      <c r="AB28" s="50" t="str">
        <f>_xlfn.IFNA(VLOOKUP($C28&amp;","&amp;AB3,$C$34:$D$112,2,FALSE),"-1")</f>
        <v>-1</v>
      </c>
    </row>
    <row r="29" ht="20" customHeight="1" spans="1:28">
      <c r="A29" s="16">
        <v>3</v>
      </c>
      <c r="B29" s="15">
        <f t="shared" si="7"/>
        <v>25</v>
      </c>
      <c r="C29" s="19" t="s">
        <v>944</v>
      </c>
      <c r="D29" s="18" t="str">
        <f t="shared" si="6"/>
        <v>19</v>
      </c>
      <c r="E29" s="44" t="str">
        <f>_xlfn.IFNA(VLOOKUP($C29&amp;","&amp;E3,$C$34:$D$112,2,FALSE),"-1")</f>
        <v>-1</v>
      </c>
      <c r="F29" s="27" t="str">
        <f>_xlfn.IFNA(VLOOKUP($C29&amp;","&amp;F3,$C$34:$D$112,2,FALSE),"-1")</f>
        <v>-1</v>
      </c>
      <c r="G29" s="27" t="str">
        <f>_xlfn.IFNA(VLOOKUP($C29&amp;","&amp;G3,$C$34:$D$112,2,FALSE),"-1")</f>
        <v>-1</v>
      </c>
      <c r="H29" s="27" t="str">
        <f>_xlfn.IFNA(VLOOKUP($C29&amp;","&amp;H3,$C$34:$D$112,2,FALSE),"-1")</f>
        <v>-1</v>
      </c>
      <c r="I29" s="27" t="str">
        <f>_xlfn.IFNA(VLOOKUP($C29&amp;","&amp;I3,$C$34:$D$112,2,FALSE),"-1")</f>
        <v>-1</v>
      </c>
      <c r="J29" s="27" t="str">
        <f>_xlfn.IFNA(VLOOKUP($C29&amp;","&amp;J3,$C$34:$D$112,2,FALSE),"-1")</f>
        <v>-1</v>
      </c>
      <c r="K29" s="27" t="str">
        <f>_xlfn.IFNA(VLOOKUP($C29&amp;","&amp;K3,$C$34:$D$112,2,FALSE),"-1")</f>
        <v>-1</v>
      </c>
      <c r="L29" s="27" t="str">
        <f>_xlfn.IFNA(VLOOKUP($C29&amp;","&amp;L3,$C$34:$D$112,2,FALSE),"-1")</f>
        <v>-1</v>
      </c>
      <c r="M29" s="27" t="str">
        <f>_xlfn.IFNA(VLOOKUP($C29&amp;","&amp;M3,$C$34:$D$112,2,FALSE),"-1")</f>
        <v>-1</v>
      </c>
      <c r="N29" s="27" t="str">
        <f>_xlfn.IFNA(VLOOKUP($C29&amp;","&amp;N3,$C$34:$D$112,2,FALSE),"-1")</f>
        <v>68</v>
      </c>
      <c r="O29" s="27" t="str">
        <f>_xlfn.IFNA(VLOOKUP($C29&amp;","&amp;O3,$C$34:$D$112,2,FALSE),"-1")</f>
        <v>-1</v>
      </c>
      <c r="P29" s="27" t="str">
        <f>_xlfn.IFNA(VLOOKUP($C29&amp;","&amp;P3,$C$34:$D$112,2,FALSE),"-1")</f>
        <v>-1</v>
      </c>
      <c r="Q29" s="27" t="str">
        <f>_xlfn.IFNA(VLOOKUP($C29&amp;","&amp;Q3,$C$34:$D$112,2,FALSE),"-1")</f>
        <v>-1</v>
      </c>
      <c r="R29" s="27" t="str">
        <f>_xlfn.IFNA(VLOOKUP($C29&amp;","&amp;R3,$C$34:$D$112,2,FALSE),"-1")</f>
        <v>-1</v>
      </c>
      <c r="S29" s="27" t="str">
        <f>_xlfn.IFNA(VLOOKUP($C29&amp;","&amp;S3,$C$34:$D$112,2,FALSE),"-1")</f>
        <v>-1</v>
      </c>
      <c r="T29" s="27" t="str">
        <f>_xlfn.IFNA(VLOOKUP($C29&amp;","&amp;T3,$C$34:$D$112,2,FALSE),"-1")</f>
        <v>-1</v>
      </c>
      <c r="U29" s="27" t="str">
        <f>_xlfn.IFNA(VLOOKUP($C29&amp;","&amp;U3,$C$34:$D$112,2,FALSE),"-1")</f>
        <v>-1</v>
      </c>
      <c r="V29" s="27" t="str">
        <f>_xlfn.IFNA(VLOOKUP($C29&amp;","&amp;V3,$C$34:$D$112,2,FALSE),"-1")</f>
        <v>-1</v>
      </c>
      <c r="W29" s="27" t="str">
        <f>_xlfn.IFNA(VLOOKUP($C29&amp;","&amp;W3,$C$34:$D$112,2,FALSE),"-1")</f>
        <v>-1</v>
      </c>
      <c r="X29" s="27" t="str">
        <f>_xlfn.IFNA(VLOOKUP($C29&amp;","&amp;X3,$C$34:$D$112,2,FALSE),"-1")</f>
        <v>-1</v>
      </c>
      <c r="Y29" s="27" t="str">
        <f>_xlfn.IFNA(VLOOKUP($C29&amp;","&amp;Y3,$C$34:$D$112,2,FALSE),"-1")</f>
        <v>-1</v>
      </c>
      <c r="Z29" s="27" t="str">
        <f>_xlfn.IFNA(VLOOKUP($C29&amp;","&amp;Z3,$C$34:$D$112,2,FALSE),"-1")</f>
        <v>-1</v>
      </c>
      <c r="AA29" s="27" t="str">
        <f>_xlfn.IFNA(VLOOKUP($C29&amp;","&amp;AA3,$C$34:$D$112,2,FALSE),"-1")</f>
        <v>-1</v>
      </c>
      <c r="AB29" s="50" t="str">
        <f>_xlfn.IFNA(VLOOKUP($C29&amp;","&amp;AB3,$C$34:$D$112,2,FALSE),"-1")</f>
        <v>-1</v>
      </c>
    </row>
    <row r="30" ht="20" customHeight="1" spans="1:28">
      <c r="A30" s="16">
        <v>3</v>
      </c>
      <c r="B30" s="15">
        <f t="shared" si="7"/>
        <v>26</v>
      </c>
      <c r="C30" s="19" t="s">
        <v>945</v>
      </c>
      <c r="D30" s="18" t="str">
        <f t="shared" si="6"/>
        <v>1A</v>
      </c>
      <c r="E30" s="44" t="str">
        <f>_xlfn.IFNA(VLOOKUP($C30&amp;","&amp;E3,$C$34:$D$112,2,FALSE),"-1")</f>
        <v>-1</v>
      </c>
      <c r="F30" s="27" t="str">
        <f>_xlfn.IFNA(VLOOKUP($C30&amp;","&amp;F3,$C$34:$D$112,2,FALSE),"-1")</f>
        <v>-1</v>
      </c>
      <c r="G30" s="27" t="str">
        <f>_xlfn.IFNA(VLOOKUP($C30&amp;","&amp;G3,$C$34:$D$112,2,FALSE),"-1")</f>
        <v>-1</v>
      </c>
      <c r="H30" s="27" t="str">
        <f>_xlfn.IFNA(VLOOKUP($C30&amp;","&amp;H3,$C$34:$D$112,2,FALSE),"-1")</f>
        <v>-1</v>
      </c>
      <c r="I30" s="27" t="str">
        <f>_xlfn.IFNA(VLOOKUP($C30&amp;","&amp;I3,$C$34:$D$112,2,FALSE),"-1")</f>
        <v>-1</v>
      </c>
      <c r="J30" s="27" t="str">
        <f>_xlfn.IFNA(VLOOKUP($C30&amp;","&amp;J3,$C$34:$D$112,2,FALSE),"-1")</f>
        <v>-1</v>
      </c>
      <c r="K30" s="27" t="str">
        <f>_xlfn.IFNA(VLOOKUP($C30&amp;","&amp;K3,$C$34:$D$112,2,FALSE),"-1")</f>
        <v>-1</v>
      </c>
      <c r="L30" s="27" t="str">
        <f>_xlfn.IFNA(VLOOKUP($C30&amp;","&amp;L3,$C$34:$D$112,2,FALSE),"-1")</f>
        <v>-1</v>
      </c>
      <c r="M30" s="27" t="str">
        <f>_xlfn.IFNA(VLOOKUP($C30&amp;","&amp;M3,$C$34:$D$112,2,FALSE),"-1")</f>
        <v>-1</v>
      </c>
      <c r="N30" s="27" t="str">
        <f>_xlfn.IFNA(VLOOKUP($C30&amp;","&amp;N3,$C$34:$D$112,2,FALSE),"-1")</f>
        <v>69</v>
      </c>
      <c r="O30" s="27" t="str">
        <f>_xlfn.IFNA(VLOOKUP($C30&amp;","&amp;O3,$C$34:$D$112,2,FALSE),"-1")</f>
        <v>-1</v>
      </c>
      <c r="P30" s="27" t="str">
        <f>_xlfn.IFNA(VLOOKUP($C30&amp;","&amp;P3,$C$34:$D$112,2,FALSE),"-1")</f>
        <v>-1</v>
      </c>
      <c r="Q30" s="27" t="str">
        <f>_xlfn.IFNA(VLOOKUP($C30&amp;","&amp;Q3,$C$34:$D$112,2,FALSE),"-1")</f>
        <v>-1</v>
      </c>
      <c r="R30" s="27" t="str">
        <f>_xlfn.IFNA(VLOOKUP($C30&amp;","&amp;R3,$C$34:$D$112,2,FALSE),"-1")</f>
        <v>-1</v>
      </c>
      <c r="S30" s="27" t="str">
        <f>_xlfn.IFNA(VLOOKUP($C30&amp;","&amp;S3,$C$34:$D$112,2,FALSE),"-1")</f>
        <v>-1</v>
      </c>
      <c r="T30" s="27" t="str">
        <f>_xlfn.IFNA(VLOOKUP($C30&amp;","&amp;T3,$C$34:$D$112,2,FALSE),"-1")</f>
        <v>-1</v>
      </c>
      <c r="U30" s="27" t="str">
        <f>_xlfn.IFNA(VLOOKUP($C30&amp;","&amp;U3,$C$34:$D$112,2,FALSE),"-1")</f>
        <v>-1</v>
      </c>
      <c r="V30" s="27" t="str">
        <f>_xlfn.IFNA(VLOOKUP($C30&amp;","&amp;V3,$C$34:$D$112,2,FALSE),"-1")</f>
        <v>-1</v>
      </c>
      <c r="W30" s="27" t="str">
        <f>_xlfn.IFNA(VLOOKUP($C30&amp;","&amp;W3,$C$34:$D$112,2,FALSE),"-1")</f>
        <v>-1</v>
      </c>
      <c r="X30" s="27" t="str">
        <f>_xlfn.IFNA(VLOOKUP($C30&amp;","&amp;X3,$C$34:$D$112,2,FALSE),"-1")</f>
        <v>-1</v>
      </c>
      <c r="Y30" s="27" t="str">
        <f>_xlfn.IFNA(VLOOKUP($C30&amp;","&amp;Y3,$C$34:$D$112,2,FALSE),"-1")</f>
        <v>-1</v>
      </c>
      <c r="Z30" s="27" t="str">
        <f>_xlfn.IFNA(VLOOKUP($C30&amp;","&amp;Z3,$C$34:$D$112,2,FALSE),"-1")</f>
        <v>-1</v>
      </c>
      <c r="AA30" s="27" t="str">
        <f>_xlfn.IFNA(VLOOKUP($C30&amp;","&amp;AA3,$C$34:$D$112,2,FALSE),"-1")</f>
        <v>-1</v>
      </c>
      <c r="AB30" s="50" t="str">
        <f>_xlfn.IFNA(VLOOKUP($C30&amp;","&amp;AB3,$C$34:$D$112,2,FALSE),"-1")</f>
        <v>-1</v>
      </c>
    </row>
    <row r="31" ht="20" customHeight="1" spans="1:28">
      <c r="A31" s="16">
        <v>3</v>
      </c>
      <c r="B31" s="15">
        <f t="shared" si="7"/>
        <v>27</v>
      </c>
      <c r="C31" s="19" t="s">
        <v>946</v>
      </c>
      <c r="D31" s="18" t="str">
        <f t="shared" si="6"/>
        <v>1B</v>
      </c>
      <c r="E31" s="44" t="str">
        <f>_xlfn.IFNA(VLOOKUP($C31&amp;","&amp;E3,$C$34:$D$112,2,FALSE),"-1")</f>
        <v>-1</v>
      </c>
      <c r="F31" s="27" t="str">
        <f>_xlfn.IFNA(VLOOKUP($C31&amp;","&amp;F3,$C$34:$D$112,2,FALSE),"-1")</f>
        <v>-1</v>
      </c>
      <c r="G31" s="27" t="str">
        <f>_xlfn.IFNA(VLOOKUP($C31&amp;","&amp;G3,$C$34:$D$112,2,FALSE),"-1")</f>
        <v>-1</v>
      </c>
      <c r="H31" s="27" t="str">
        <f>_xlfn.IFNA(VLOOKUP($C31&amp;","&amp;H3,$C$34:$D$112,2,FALSE),"-1")</f>
        <v>-1</v>
      </c>
      <c r="I31" s="27" t="str">
        <f>_xlfn.IFNA(VLOOKUP($C31&amp;","&amp;I3,$C$34:$D$112,2,FALSE),"-1")</f>
        <v>-1</v>
      </c>
      <c r="J31" s="27" t="str">
        <f>_xlfn.IFNA(VLOOKUP($C31&amp;","&amp;J3,$C$34:$D$112,2,FALSE),"-1")</f>
        <v>-1</v>
      </c>
      <c r="K31" s="27" t="str">
        <f>_xlfn.IFNA(VLOOKUP($C31&amp;","&amp;K3,$C$34:$D$112,2,FALSE),"-1")</f>
        <v>-1</v>
      </c>
      <c r="L31" s="27" t="str">
        <f>_xlfn.IFNA(VLOOKUP($C31&amp;","&amp;L3,$C$34:$D$112,2,FALSE),"-1")</f>
        <v>-1</v>
      </c>
      <c r="M31" s="27" t="str">
        <f>_xlfn.IFNA(VLOOKUP($C31&amp;","&amp;M3,$C$34:$D$112,2,FALSE),"-1")</f>
        <v>-1</v>
      </c>
      <c r="N31" s="27" t="str">
        <f>_xlfn.IFNA(VLOOKUP($C31&amp;","&amp;N3,$C$34:$D$112,2,FALSE),"-1")</f>
        <v>6A</v>
      </c>
      <c r="O31" s="27" t="str">
        <f>_xlfn.IFNA(VLOOKUP($C31&amp;","&amp;O3,$C$34:$D$112,2,FALSE),"-1")</f>
        <v>-1</v>
      </c>
      <c r="P31" s="27" t="str">
        <f>_xlfn.IFNA(VLOOKUP($C31&amp;","&amp;P3,$C$34:$D$112,2,FALSE),"-1")</f>
        <v>-1</v>
      </c>
      <c r="Q31" s="27" t="str">
        <f>_xlfn.IFNA(VLOOKUP($C31&amp;","&amp;Q3,$C$34:$D$112,2,FALSE),"-1")</f>
        <v>-1</v>
      </c>
      <c r="R31" s="27" t="str">
        <f>_xlfn.IFNA(VLOOKUP($C31&amp;","&amp;R3,$C$34:$D$112,2,FALSE),"-1")</f>
        <v>-1</v>
      </c>
      <c r="S31" s="27" t="str">
        <f>_xlfn.IFNA(VLOOKUP($C31&amp;","&amp;S3,$C$34:$D$112,2,FALSE),"-1")</f>
        <v>-1</v>
      </c>
      <c r="T31" s="27" t="str">
        <f>_xlfn.IFNA(VLOOKUP($C31&amp;","&amp;T3,$C$34:$D$112,2,FALSE),"-1")</f>
        <v>-1</v>
      </c>
      <c r="U31" s="27" t="str">
        <f>_xlfn.IFNA(VLOOKUP($C31&amp;","&amp;U3,$C$34:$D$112,2,FALSE),"-1")</f>
        <v>-1</v>
      </c>
      <c r="V31" s="27" t="str">
        <f>_xlfn.IFNA(VLOOKUP($C31&amp;","&amp;V3,$C$34:$D$112,2,FALSE),"-1")</f>
        <v>-1</v>
      </c>
      <c r="W31" s="27" t="str">
        <f>_xlfn.IFNA(VLOOKUP($C31&amp;","&amp;W3,$C$34:$D$112,2,FALSE),"-1")</f>
        <v>-1</v>
      </c>
      <c r="X31" s="27" t="str">
        <f>_xlfn.IFNA(VLOOKUP($C31&amp;","&amp;X3,$C$34:$D$112,2,FALSE),"-1")</f>
        <v>-1</v>
      </c>
      <c r="Y31" s="27" t="str">
        <f>_xlfn.IFNA(VLOOKUP($C31&amp;","&amp;Y3,$C$34:$D$112,2,FALSE),"-1")</f>
        <v>-1</v>
      </c>
      <c r="Z31" s="27" t="str">
        <f>_xlfn.IFNA(VLOOKUP($C31&amp;","&amp;Z3,$C$34:$D$112,2,FALSE),"-1")</f>
        <v>-1</v>
      </c>
      <c r="AA31" s="27" t="str">
        <f>_xlfn.IFNA(VLOOKUP($C31&amp;","&amp;AA3,$C$34:$D$112,2,FALSE),"-1")</f>
        <v>-1</v>
      </c>
      <c r="AB31" s="50" t="str">
        <f>_xlfn.IFNA(VLOOKUP($C31&amp;","&amp;AB3,$C$34:$D$112,2,FALSE),"-1")</f>
        <v>-1</v>
      </c>
    </row>
    <row r="32" ht="20" customHeight="1" spans="1:28">
      <c r="A32" s="16">
        <v>3</v>
      </c>
      <c r="B32" s="15">
        <f t="shared" si="7"/>
        <v>28</v>
      </c>
      <c r="C32" s="19" t="s">
        <v>947</v>
      </c>
      <c r="D32" s="18" t="str">
        <f t="shared" si="6"/>
        <v>1C</v>
      </c>
      <c r="E32" s="44" t="str">
        <f>_xlfn.IFNA(VLOOKUP($C32&amp;","&amp;E3,$C$34:$D$112,2,FALSE),"-1")</f>
        <v>-1</v>
      </c>
      <c r="F32" s="27" t="str">
        <f>_xlfn.IFNA(VLOOKUP($C32&amp;","&amp;F3,$C$34:$D$112,2,FALSE),"-1")</f>
        <v>-1</v>
      </c>
      <c r="G32" s="27" t="str">
        <f>_xlfn.IFNA(VLOOKUP($C32&amp;","&amp;G3,$C$34:$D$112,2,FALSE),"-1")</f>
        <v>-1</v>
      </c>
      <c r="H32" s="27" t="str">
        <f>_xlfn.IFNA(VLOOKUP($C32&amp;","&amp;H3,$C$34:$D$112,2,FALSE),"-1")</f>
        <v>-1</v>
      </c>
      <c r="I32" s="27" t="str">
        <f>_xlfn.IFNA(VLOOKUP($C32&amp;","&amp;I3,$C$34:$D$112,2,FALSE),"-1")</f>
        <v>-1</v>
      </c>
      <c r="J32" s="27" t="str">
        <f>_xlfn.IFNA(VLOOKUP($C32&amp;","&amp;J3,$C$34:$D$112,2,FALSE),"-1")</f>
        <v>-1</v>
      </c>
      <c r="K32" s="27" t="str">
        <f>_xlfn.IFNA(VLOOKUP($C32&amp;","&amp;K3,$C$34:$D$112,2,FALSE),"-1")</f>
        <v>-1</v>
      </c>
      <c r="L32" s="27" t="str">
        <f>_xlfn.IFNA(VLOOKUP($C32&amp;","&amp;L3,$C$34:$D$112,2,FALSE),"-1")</f>
        <v>-1</v>
      </c>
      <c r="M32" s="27" t="str">
        <f>_xlfn.IFNA(VLOOKUP($C32&amp;","&amp;M3,$C$34:$D$112,2,FALSE),"-1")</f>
        <v>-1</v>
      </c>
      <c r="N32" s="27" t="str">
        <f>_xlfn.IFNA(VLOOKUP($C32&amp;","&amp;N3,$C$34:$D$112,2,FALSE),"-1")</f>
        <v>6B</v>
      </c>
      <c r="O32" s="27" t="str">
        <f>_xlfn.IFNA(VLOOKUP($C32&amp;","&amp;O3,$C$34:$D$112,2,FALSE),"-1")</f>
        <v>-1</v>
      </c>
      <c r="P32" s="27" t="str">
        <f>_xlfn.IFNA(VLOOKUP($C32&amp;","&amp;P3,$C$34:$D$112,2,FALSE),"-1")</f>
        <v>-1</v>
      </c>
      <c r="Q32" s="27" t="str">
        <f>_xlfn.IFNA(VLOOKUP($C32&amp;","&amp;Q3,$C$34:$D$112,2,FALSE),"-1")</f>
        <v>-1</v>
      </c>
      <c r="R32" s="27" t="str">
        <f>_xlfn.IFNA(VLOOKUP($C32&amp;","&amp;R3,$C$34:$D$112,2,FALSE),"-1")</f>
        <v>-1</v>
      </c>
      <c r="S32" s="27" t="str">
        <f>_xlfn.IFNA(VLOOKUP($C32&amp;","&amp;S3,$C$34:$D$112,2,FALSE),"-1")</f>
        <v>-1</v>
      </c>
      <c r="T32" s="27" t="str">
        <f>_xlfn.IFNA(VLOOKUP($C32&amp;","&amp;T3,$C$34:$D$112,2,FALSE),"-1")</f>
        <v>-1</v>
      </c>
      <c r="U32" s="27" t="str">
        <f>_xlfn.IFNA(VLOOKUP($C32&amp;","&amp;U3,$C$34:$D$112,2,FALSE),"-1")</f>
        <v>-1</v>
      </c>
      <c r="V32" s="27" t="str">
        <f>_xlfn.IFNA(VLOOKUP($C32&amp;","&amp;V3,$C$34:$D$112,2,FALSE),"-1")</f>
        <v>-1</v>
      </c>
      <c r="W32" s="27" t="str">
        <f>_xlfn.IFNA(VLOOKUP($C32&amp;","&amp;W3,$C$34:$D$112,2,FALSE),"-1")</f>
        <v>-1</v>
      </c>
      <c r="X32" s="27" t="str">
        <f>_xlfn.IFNA(VLOOKUP($C32&amp;","&amp;X3,$C$34:$D$112,2,FALSE),"-1")</f>
        <v>-1</v>
      </c>
      <c r="Y32" s="27" t="str">
        <f>_xlfn.IFNA(VLOOKUP($C32&amp;","&amp;Y3,$C$34:$D$112,2,FALSE),"-1")</f>
        <v>-1</v>
      </c>
      <c r="Z32" s="27" t="str">
        <f>_xlfn.IFNA(VLOOKUP($C32&amp;","&amp;Z3,$C$34:$D$112,2,FALSE),"-1")</f>
        <v>-1</v>
      </c>
      <c r="AA32" s="27" t="str">
        <f>_xlfn.IFNA(VLOOKUP($C32&amp;","&amp;AA3,$C$34:$D$112,2,FALSE),"-1")</f>
        <v>-1</v>
      </c>
      <c r="AB32" s="50" t="str">
        <f>_xlfn.IFNA(VLOOKUP($C32&amp;","&amp;AB3,$C$34:$D$112,2,FALSE),"-1")</f>
        <v>-1</v>
      </c>
    </row>
    <row r="33" ht="20" customHeight="1" spans="1:28">
      <c r="A33" s="16">
        <v>3</v>
      </c>
      <c r="B33" s="15">
        <f t="shared" si="7"/>
        <v>29</v>
      </c>
      <c r="C33" s="20" t="s">
        <v>948</v>
      </c>
      <c r="D33" s="18" t="str">
        <f t="shared" si="6"/>
        <v>1D</v>
      </c>
      <c r="E33" s="45" t="str">
        <f>_xlfn.IFNA(VLOOKUP($C33&amp;","&amp;E3,$C$34:$D$112,2,FALSE),"-1")</f>
        <v>-1</v>
      </c>
      <c r="F33" s="28" t="str">
        <f>_xlfn.IFNA(VLOOKUP($C33&amp;","&amp;F3,$C$34:$D$112,2,FALSE),"-1")</f>
        <v>-1</v>
      </c>
      <c r="G33" s="28" t="str">
        <f>_xlfn.IFNA(VLOOKUP($C33&amp;","&amp;G3,$C$34:$D$112,2,FALSE),"-1")</f>
        <v>-1</v>
      </c>
      <c r="H33" s="28" t="str">
        <f>_xlfn.IFNA(VLOOKUP($C33&amp;","&amp;H3,$C$34:$D$112,2,FALSE),"-1")</f>
        <v>-1</v>
      </c>
      <c r="I33" s="28" t="str">
        <f>_xlfn.IFNA(VLOOKUP($C33&amp;","&amp;I3,$C$34:$D$112,2,FALSE),"-1")</f>
        <v>-1</v>
      </c>
      <c r="J33" s="28" t="str">
        <f>_xlfn.IFNA(VLOOKUP($C33&amp;","&amp;J3,$C$34:$D$112,2,FALSE),"-1")</f>
        <v>-1</v>
      </c>
      <c r="K33" s="28" t="str">
        <f>_xlfn.IFNA(VLOOKUP($C33&amp;","&amp;K3,$C$34:$D$112,2,FALSE),"-1")</f>
        <v>-1</v>
      </c>
      <c r="L33" s="28" t="str">
        <f>_xlfn.IFNA(VLOOKUP($C33&amp;","&amp;L3,$C$34:$D$112,2,FALSE),"-1")</f>
        <v>-1</v>
      </c>
      <c r="M33" s="28" t="str">
        <f>_xlfn.IFNA(VLOOKUP($C33&amp;","&amp;M3,$C$34:$D$112,2,FALSE),"-1")</f>
        <v>-1</v>
      </c>
      <c r="N33" s="28" t="str">
        <f>_xlfn.IFNA(VLOOKUP($C33&amp;","&amp;N3,$C$34:$D$112,2,FALSE),"-1")</f>
        <v>6C</v>
      </c>
      <c r="O33" s="28" t="str">
        <f>_xlfn.IFNA(VLOOKUP($C33&amp;","&amp;O3,$C$34:$D$112,2,FALSE),"-1")</f>
        <v>-1</v>
      </c>
      <c r="P33" s="28" t="str">
        <f>_xlfn.IFNA(VLOOKUP($C33&amp;","&amp;P3,$C$34:$D$112,2,FALSE),"-1")</f>
        <v>-1</v>
      </c>
      <c r="Q33" s="28" t="str">
        <f>_xlfn.IFNA(VLOOKUP($C33&amp;","&amp;Q3,$C$34:$D$112,2,FALSE),"-1")</f>
        <v>-1</v>
      </c>
      <c r="R33" s="28" t="str">
        <f>_xlfn.IFNA(VLOOKUP($C33&amp;","&amp;R3,$C$34:$D$112,2,FALSE),"-1")</f>
        <v>-1</v>
      </c>
      <c r="S33" s="28" t="str">
        <f>_xlfn.IFNA(VLOOKUP($C33&amp;","&amp;S3,$C$34:$D$112,2,FALSE),"-1")</f>
        <v>-1</v>
      </c>
      <c r="T33" s="28" t="str">
        <f>_xlfn.IFNA(VLOOKUP($C33&amp;","&amp;T3,$C$34:$D$112,2,FALSE),"-1")</f>
        <v>-1</v>
      </c>
      <c r="U33" s="28" t="str">
        <f>_xlfn.IFNA(VLOOKUP($C33&amp;","&amp;U3,$C$34:$D$112,2,FALSE),"-1")</f>
        <v>-1</v>
      </c>
      <c r="V33" s="28" t="str">
        <f>_xlfn.IFNA(VLOOKUP($C33&amp;","&amp;V3,$C$34:$D$112,2,FALSE),"-1")</f>
        <v>-1</v>
      </c>
      <c r="W33" s="28" t="str">
        <f>_xlfn.IFNA(VLOOKUP($C33&amp;","&amp;W3,$C$34:$D$112,2,FALSE),"-1")</f>
        <v>-1</v>
      </c>
      <c r="X33" s="28" t="str">
        <f>_xlfn.IFNA(VLOOKUP($C33&amp;","&amp;X3,$C$34:$D$112,2,FALSE),"-1")</f>
        <v>-1</v>
      </c>
      <c r="Y33" s="28" t="str">
        <f>_xlfn.IFNA(VLOOKUP($C33&amp;","&amp;Y3,$C$34:$D$112,2,FALSE),"-1")</f>
        <v>-1</v>
      </c>
      <c r="Z33" s="28" t="str">
        <f>_xlfn.IFNA(VLOOKUP($C33&amp;","&amp;Z3,$C$34:$D$112,2,FALSE),"-1")</f>
        <v>-1</v>
      </c>
      <c r="AA33" s="27" t="str">
        <f>_xlfn.IFNA(VLOOKUP($C33&amp;","&amp;AA3,$C$34:$D$112,2,FALSE),"-1")</f>
        <v>-1</v>
      </c>
      <c r="AB33" s="50" t="str">
        <f>_xlfn.IFNA(VLOOKUP($C33&amp;","&amp;AB3,$C$34:$D$112,2,FALSE),"-1")</f>
        <v>-1</v>
      </c>
    </row>
    <row r="34" ht="20" customHeight="1" spans="1:28">
      <c r="A34" s="16">
        <v>1</v>
      </c>
      <c r="B34" s="21">
        <f t="shared" si="7"/>
        <v>30</v>
      </c>
      <c r="C34" s="22" t="s">
        <v>949</v>
      </c>
      <c r="D34" s="23" t="str">
        <f t="shared" si="6"/>
        <v>1E</v>
      </c>
      <c r="E34" s="29" t="str">
        <f>_xlfn.IFNA(VLOOKUP($C34&amp;","&amp;E3,汇编指令!$C$2:$D$235,2,FALSE),"-1")</f>
        <v>E4</v>
      </c>
      <c r="F34" s="30" t="str">
        <f>_xlfn.IFNA(VLOOKUP($C34&amp;","&amp;F3,汇编指令!$C$2:$D$235,2,FALSE),"-1")</f>
        <v>-1</v>
      </c>
      <c r="G34" s="30" t="str">
        <f>_xlfn.IFNA(VLOOKUP($C34&amp;","&amp;G3,汇编指令!$C$2:$D$235,2,FALSE),"-1")</f>
        <v>-1</v>
      </c>
      <c r="H34" s="30" t="str">
        <f>_xlfn.IFNA(VLOOKUP($C34&amp;","&amp;H3,汇编指令!$C$2:$D$235,2,FALSE),"-1")</f>
        <v>-1</v>
      </c>
      <c r="I34" s="30" t="str">
        <f>_xlfn.IFNA(VLOOKUP($C34&amp;","&amp;I3,汇编指令!$C$2:$D$235,2,FALSE),"-1")</f>
        <v>-1</v>
      </c>
      <c r="J34" s="30" t="str">
        <f>_xlfn.IFNA(VLOOKUP($C34&amp;","&amp;J3,汇编指令!$C$2:$D$235,2,FALSE),"-1")</f>
        <v>-1</v>
      </c>
      <c r="K34" s="30" t="str">
        <f>_xlfn.IFNA(VLOOKUP($C34&amp;","&amp;K3,汇编指令!$C$2:$D$235,2,FALSE),"-1")</f>
        <v>-1</v>
      </c>
      <c r="L34" s="30" t="str">
        <f>_xlfn.IFNA(VLOOKUP($C34&amp;","&amp;L3,汇编指令!$C$2:$D$235,2,FALSE),"-1")</f>
        <v>-1</v>
      </c>
      <c r="M34" s="30" t="str">
        <f>_xlfn.IFNA(VLOOKUP($C34&amp;","&amp;M3,汇编指令!$C$2:$D$235,2,FALSE),"-1")</f>
        <v>-1</v>
      </c>
      <c r="N34" s="30" t="str">
        <f>_xlfn.IFNA(VLOOKUP($C34&amp;","&amp;N3,汇编指令!$C$2:$D$235,2,FALSE),"-1")</f>
        <v>-1</v>
      </c>
      <c r="O34" s="30" t="str">
        <f>_xlfn.IFNA(VLOOKUP($C34&amp;","&amp;O3,汇编指令!$C$2:$D$235,2,FALSE),"-1")</f>
        <v>-1</v>
      </c>
      <c r="P34" s="30" t="str">
        <f>_xlfn.IFNA(VLOOKUP($C34&amp;","&amp;P3,汇编指令!$C$2:$D$235,2,FALSE),"-1")</f>
        <v>-1</v>
      </c>
      <c r="Q34" s="30" t="str">
        <f>_xlfn.IFNA(VLOOKUP($C34&amp;","&amp;Q3,汇编指令!$C$2:$D$235,2,FALSE),"-1")</f>
        <v>-1</v>
      </c>
      <c r="R34" s="30" t="str">
        <f>_xlfn.IFNA(VLOOKUP($C34&amp;","&amp;R3,汇编指令!$C$2:$D$235,2,FALSE),"-1")</f>
        <v>-1</v>
      </c>
      <c r="S34" s="30" t="str">
        <f>_xlfn.IFNA(VLOOKUP($C34&amp;","&amp;S3,汇编指令!$C$2:$D$235,2,FALSE),"-1")</f>
        <v>-1</v>
      </c>
      <c r="T34" s="30" t="str">
        <f>_xlfn.IFNA(VLOOKUP($C34&amp;","&amp;T3,汇编指令!$C$2:$D$235,2,FALSE),"-1")</f>
        <v>-1</v>
      </c>
      <c r="U34" s="30" t="str">
        <f>_xlfn.IFNA(VLOOKUP($C34&amp;","&amp;U3,汇编指令!$C$2:$D$235,2,FALSE),"-1")</f>
        <v>-1</v>
      </c>
      <c r="V34" s="30" t="str">
        <f>_xlfn.IFNA(VLOOKUP($C34&amp;","&amp;V3,汇编指令!$C$2:$D$235,2,FALSE),"-1")</f>
        <v>-1</v>
      </c>
      <c r="W34" s="30" t="str">
        <f>_xlfn.IFNA(VLOOKUP($C34&amp;","&amp;W3,汇编指令!$C$2:$D$235,2,FALSE),"-1")</f>
        <v>-1</v>
      </c>
      <c r="X34" s="30" t="str">
        <f>_xlfn.IFNA(VLOOKUP($C34&amp;","&amp;X3,汇编指令!$C$2:$D$235,2,FALSE),"-1")</f>
        <v>-1</v>
      </c>
      <c r="Y34" s="35" t="str">
        <f>_xlfn.IFNA(VLOOKUP($C34&amp;","&amp;Y3,汇编指令!$C$2:$D$235,2,FALSE),"-1")</f>
        <v>C2</v>
      </c>
      <c r="Z34" s="35" t="str">
        <f>_xlfn.IFNA(VLOOKUP($C34&amp;","&amp;Z3,汇编指令!$C$2:$D$235,2,FALSE),"-1")</f>
        <v>C3</v>
      </c>
      <c r="AA34" s="32" t="str">
        <f>_xlfn.IFNA(VLOOKUP($C34&amp;","&amp;AA3,汇编指令!$C$2:$D$235,2,FALSE),"-1")</f>
        <v>-1</v>
      </c>
      <c r="AB34" s="53" t="str">
        <f>_xlfn.IFNA(VLOOKUP($C34&amp;","&amp;AB3,汇编指令!$C$2:$D$235,2,FALSE),"-1")</f>
        <v>-1</v>
      </c>
    </row>
    <row r="35" ht="20" customHeight="1" spans="1:28">
      <c r="A35" s="16">
        <v>1</v>
      </c>
      <c r="B35" s="21">
        <f t="shared" si="7"/>
        <v>31</v>
      </c>
      <c r="C35" s="24" t="s">
        <v>950</v>
      </c>
      <c r="D35" s="23" t="str">
        <f t="shared" si="6"/>
        <v>1F</v>
      </c>
      <c r="E35" s="31" t="str">
        <f>_xlfn.IFNA(VLOOKUP($C35&amp;","&amp;E3,汇编指令!$C$2:$D$235,2,FALSE),"-1")</f>
        <v>F4</v>
      </c>
      <c r="F35" s="32" t="str">
        <f>_xlfn.IFNA(VLOOKUP($C35&amp;","&amp;F3,汇编指令!$C$2:$D$235,2,FALSE),"-1")</f>
        <v>-1</v>
      </c>
      <c r="G35" s="32" t="str">
        <f>_xlfn.IFNA(VLOOKUP($C35&amp;","&amp;G3,汇编指令!$C$2:$D$235,2,FALSE),"-1")</f>
        <v>-1</v>
      </c>
      <c r="H35" s="32" t="str">
        <f>_xlfn.IFNA(VLOOKUP($C35&amp;","&amp;H3,汇编指令!$C$2:$D$235,2,FALSE),"-1")</f>
        <v>-1</v>
      </c>
      <c r="I35" s="32" t="str">
        <f>_xlfn.IFNA(VLOOKUP($C35&amp;","&amp;I3,汇编指令!$C$2:$D$235,2,FALSE),"-1")</f>
        <v>-1</v>
      </c>
      <c r="J35" s="32" t="str">
        <f>_xlfn.IFNA(VLOOKUP($C35&amp;","&amp;J3,汇编指令!$C$2:$D$235,2,FALSE),"-1")</f>
        <v>-1</v>
      </c>
      <c r="K35" s="32" t="str">
        <f>_xlfn.IFNA(VLOOKUP($C35&amp;","&amp;K3,汇编指令!$C$2:$D$235,2,FALSE),"-1")</f>
        <v>-1</v>
      </c>
      <c r="L35" s="32" t="str">
        <f>_xlfn.IFNA(VLOOKUP($C35&amp;","&amp;L3,汇编指令!$C$2:$D$235,2,FALSE),"-1")</f>
        <v>-1</v>
      </c>
      <c r="M35" s="32" t="str">
        <f>_xlfn.IFNA(VLOOKUP($C35&amp;","&amp;M3,汇编指令!$C$2:$D$235,2,FALSE),"-1")</f>
        <v>-1</v>
      </c>
      <c r="N35" s="32" t="str">
        <f>_xlfn.IFNA(VLOOKUP($C35&amp;","&amp;N3,汇编指令!$C$2:$D$235,2,FALSE),"-1")</f>
        <v>-1</v>
      </c>
      <c r="O35" s="32" t="str">
        <f>_xlfn.IFNA(VLOOKUP($C35&amp;","&amp;O3,汇编指令!$C$2:$D$235,2,FALSE),"-1")</f>
        <v>-1</v>
      </c>
      <c r="P35" s="32" t="str">
        <f>_xlfn.IFNA(VLOOKUP($C35&amp;","&amp;P3,汇编指令!$C$2:$D$235,2,FALSE),"-1")</f>
        <v>-1</v>
      </c>
      <c r="Q35" s="32" t="str">
        <f>_xlfn.IFNA(VLOOKUP($C35&amp;","&amp;Q3,汇编指令!$C$2:$D$235,2,FALSE),"-1")</f>
        <v>-1</v>
      </c>
      <c r="R35" s="32" t="str">
        <f>_xlfn.IFNA(VLOOKUP($C35&amp;","&amp;R3,汇编指令!$C$2:$D$235,2,FALSE),"-1")</f>
        <v>-1</v>
      </c>
      <c r="S35" s="32" t="str">
        <f>_xlfn.IFNA(VLOOKUP($C35&amp;","&amp;S3,汇编指令!$C$2:$D$235,2,FALSE),"-1")</f>
        <v>-1</v>
      </c>
      <c r="T35" s="32" t="str">
        <f>_xlfn.IFNA(VLOOKUP($C35&amp;","&amp;T3,汇编指令!$C$2:$D$235,2,FALSE),"-1")</f>
        <v>-1</v>
      </c>
      <c r="U35" s="32" t="str">
        <f>_xlfn.IFNA(VLOOKUP($C35&amp;","&amp;U3,汇编指令!$C$2:$D$235,2,FALSE),"-1")</f>
        <v>-1</v>
      </c>
      <c r="V35" s="32" t="str">
        <f>_xlfn.IFNA(VLOOKUP($C35&amp;","&amp;V3,汇编指令!$C$2:$D$235,2,FALSE),"-1")</f>
        <v>-1</v>
      </c>
      <c r="W35" s="32" t="str">
        <f>_xlfn.IFNA(VLOOKUP($C35&amp;","&amp;W3,汇编指令!$C$2:$D$235,2,FALSE),"-1")</f>
        <v>-1</v>
      </c>
      <c r="X35" s="32" t="str">
        <f>_xlfn.IFNA(VLOOKUP($C35&amp;","&amp;X3,汇编指令!$C$2:$D$235,2,FALSE),"-1")</f>
        <v>-1</v>
      </c>
      <c r="Y35" s="33" t="str">
        <f>_xlfn.IFNA(VLOOKUP($C35&amp;","&amp;Y3,汇编指令!$C$2:$D$235,2,FALSE),"-1")</f>
        <v>B2</v>
      </c>
      <c r="Z35" s="32" t="str">
        <f>_xlfn.IFNA(VLOOKUP($C35&amp;","&amp;Z3,汇编指令!$C$2:$D$235,2,FALSE),"-1")</f>
        <v>-1</v>
      </c>
      <c r="AA35" s="32" t="str">
        <f>_xlfn.IFNA(VLOOKUP($C35&amp;","&amp;AA3,汇编指令!$C$2:$D$235,2,FALSE),"-1")</f>
        <v>-1</v>
      </c>
      <c r="AB35" s="53" t="str">
        <f>_xlfn.IFNA(VLOOKUP($C35&amp;","&amp;AB3,汇编指令!$C$2:$D$235,2,FALSE),"-1")</f>
        <v>-1</v>
      </c>
    </row>
    <row r="36" ht="20" customHeight="1" spans="1:28">
      <c r="A36" s="16">
        <v>1</v>
      </c>
      <c r="B36" s="21">
        <f t="shared" si="7"/>
        <v>32</v>
      </c>
      <c r="C36" s="24" t="s">
        <v>951</v>
      </c>
      <c r="D36" s="23" t="str">
        <f t="shared" si="6"/>
        <v>20</v>
      </c>
      <c r="E36" s="31" t="str">
        <f>_xlfn.IFNA(VLOOKUP($C36&amp;","&amp;E3,汇编指令!$C$2:$D$235,2,FALSE),"-1")</f>
        <v>D4</v>
      </c>
      <c r="F36" s="32" t="str">
        <f>_xlfn.IFNA(VLOOKUP($C36&amp;","&amp;F3,汇编指令!$C$2:$D$235,2,FALSE),"-1")</f>
        <v>-1</v>
      </c>
      <c r="G36" s="32" t="str">
        <f>_xlfn.IFNA(VLOOKUP($C36&amp;","&amp;G3,汇编指令!$C$2:$D$235,2,FALSE),"-1")</f>
        <v>-1</v>
      </c>
      <c r="H36" s="32" t="str">
        <f>_xlfn.IFNA(VLOOKUP($C36&amp;","&amp;H3,汇编指令!$C$2:$D$235,2,FALSE),"-1")</f>
        <v>-1</v>
      </c>
      <c r="I36" s="32" t="str">
        <f>_xlfn.IFNA(VLOOKUP($C36&amp;","&amp;I3,汇编指令!$C$2:$D$235,2,FALSE),"-1")</f>
        <v>-1</v>
      </c>
      <c r="J36" s="32" t="str">
        <f>_xlfn.IFNA(VLOOKUP($C36&amp;","&amp;J3,汇编指令!$C$2:$D$235,2,FALSE),"-1")</f>
        <v>-1</v>
      </c>
      <c r="K36" s="32" t="str">
        <f>_xlfn.IFNA(VLOOKUP($C36&amp;","&amp;K3,汇编指令!$C$2:$D$235,2,FALSE),"-1")</f>
        <v>-1</v>
      </c>
      <c r="L36" s="32" t="str">
        <f>_xlfn.IFNA(VLOOKUP($C36&amp;","&amp;L3,汇编指令!$C$2:$D$235,2,FALSE),"-1")</f>
        <v>-1</v>
      </c>
      <c r="M36" s="32" t="str">
        <f>_xlfn.IFNA(VLOOKUP($C36&amp;","&amp;M3,汇编指令!$C$2:$D$235,2,FALSE),"-1")</f>
        <v>-1</v>
      </c>
      <c r="N36" s="32" t="str">
        <f>_xlfn.IFNA(VLOOKUP($C36&amp;","&amp;N3,汇编指令!$C$2:$D$235,2,FALSE),"-1")</f>
        <v>-1</v>
      </c>
      <c r="O36" s="32" t="str">
        <f>_xlfn.IFNA(VLOOKUP($C36&amp;","&amp;O3,汇编指令!$C$2:$D$235,2,FALSE),"-1")</f>
        <v>-1</v>
      </c>
      <c r="P36" s="32" t="str">
        <f>_xlfn.IFNA(VLOOKUP($C36&amp;","&amp;P3,汇编指令!$C$2:$D$235,2,FALSE),"-1")</f>
        <v>-1</v>
      </c>
      <c r="Q36" s="32" t="str">
        <f>_xlfn.IFNA(VLOOKUP($C36&amp;","&amp;Q3,汇编指令!$C$2:$D$235,2,FALSE),"-1")</f>
        <v>-1</v>
      </c>
      <c r="R36" s="32" t="str">
        <f>_xlfn.IFNA(VLOOKUP($C36&amp;","&amp;R3,汇编指令!$C$2:$D$235,2,FALSE),"-1")</f>
        <v>-1</v>
      </c>
      <c r="S36" s="32" t="str">
        <f>_xlfn.IFNA(VLOOKUP($C36&amp;","&amp;S3,汇编指令!$C$2:$D$235,2,FALSE),"-1")</f>
        <v>-1</v>
      </c>
      <c r="T36" s="32" t="str">
        <f>_xlfn.IFNA(VLOOKUP($C36&amp;","&amp;T3,汇编指令!$C$2:$D$235,2,FALSE),"-1")</f>
        <v>-1</v>
      </c>
      <c r="U36" s="32" t="str">
        <f>_xlfn.IFNA(VLOOKUP($C36&amp;","&amp;U3,汇编指令!$C$2:$D$235,2,FALSE),"-1")</f>
        <v>-1</v>
      </c>
      <c r="V36" s="32" t="str">
        <f>_xlfn.IFNA(VLOOKUP($C36&amp;","&amp;V3,汇编指令!$C$2:$D$235,2,FALSE),"-1")</f>
        <v>-1</v>
      </c>
      <c r="W36" s="32" t="str">
        <f>_xlfn.IFNA(VLOOKUP($C36&amp;","&amp;W3,汇编指令!$C$2:$D$235,2,FALSE),"-1")</f>
        <v>-1</v>
      </c>
      <c r="X36" s="32" t="str">
        <f>_xlfn.IFNA(VLOOKUP($C36&amp;","&amp;X3,汇编指令!$C$2:$D$235,2,FALSE),"-1")</f>
        <v>-1</v>
      </c>
      <c r="Y36" s="32" t="str">
        <f>_xlfn.IFNA(VLOOKUP($C36&amp;","&amp;Y3,汇编指令!$C$2:$D$235,2,FALSE),"-1")</f>
        <v>-1</v>
      </c>
      <c r="Z36" s="32" t="str">
        <f>_xlfn.IFNA(VLOOKUP($C36&amp;","&amp;Z3,汇编指令!$C$2:$D$235,2,FALSE),"-1")</f>
        <v>-1</v>
      </c>
      <c r="AA36" s="32" t="str">
        <f>_xlfn.IFNA(VLOOKUP($C36&amp;","&amp;AA3,汇编指令!$C$2:$D$235,2,FALSE),"-1")</f>
        <v>-1</v>
      </c>
      <c r="AB36" s="53" t="str">
        <f>_xlfn.IFNA(VLOOKUP($C36&amp;","&amp;AB3,汇编指令!$C$2:$D$235,2,FALSE),"-1")</f>
        <v>-1</v>
      </c>
    </row>
    <row r="37" ht="20" customHeight="1" spans="1:28">
      <c r="A37" s="16">
        <v>1</v>
      </c>
      <c r="B37" s="21">
        <f t="shared" si="7"/>
        <v>33</v>
      </c>
      <c r="C37" s="24" t="s">
        <v>952</v>
      </c>
      <c r="D37" s="23" t="str">
        <f t="shared" si="6"/>
        <v>21</v>
      </c>
      <c r="E37" s="31" t="str">
        <f>_xlfn.IFNA(VLOOKUP($C37&amp;","&amp;E3,汇编指令!$C$2:$D$235,2,FALSE),"-1")</f>
        <v>14</v>
      </c>
      <c r="F37" s="33" t="str">
        <f>_xlfn.IFNA(VLOOKUP($C37&amp;","&amp;F3,汇编指令!$C$2:$D$235,2,FALSE),"-1")</f>
        <v>18</v>
      </c>
      <c r="G37" s="33" t="str">
        <f>_xlfn.IFNA(VLOOKUP($C37&amp;","&amp;G3,汇编指令!$C$2:$D$235,2,FALSE),"-1")</f>
        <v>19</v>
      </c>
      <c r="H37" s="33" t="str">
        <f>_xlfn.IFNA(VLOOKUP($C37&amp;","&amp;H3,汇编指令!$C$2:$D$235,2,FALSE),"-1")</f>
        <v>1A</v>
      </c>
      <c r="I37" s="33" t="str">
        <f>_xlfn.IFNA(VLOOKUP($C37&amp;","&amp;I3,汇编指令!$C$2:$D$235,2,FALSE),"-1")</f>
        <v>1B</v>
      </c>
      <c r="J37" s="33" t="str">
        <f>_xlfn.IFNA(VLOOKUP($C37&amp;","&amp;J3,汇编指令!$C$2:$D$235,2,FALSE),"-1")</f>
        <v>1C</v>
      </c>
      <c r="K37" s="33" t="str">
        <f>_xlfn.IFNA(VLOOKUP($C37&amp;","&amp;K3,汇编指令!$C$2:$D$235,2,FALSE),"-1")</f>
        <v>1D</v>
      </c>
      <c r="L37" s="33" t="str">
        <f>_xlfn.IFNA(VLOOKUP($C37&amp;","&amp;L3,汇编指令!$C$2:$D$235,2,FALSE),"-1")</f>
        <v>1E</v>
      </c>
      <c r="M37" s="33" t="str">
        <f>_xlfn.IFNA(VLOOKUP($C37&amp;","&amp;M3,汇编指令!$C$2:$D$235,2,FALSE),"-1")</f>
        <v>1F</v>
      </c>
      <c r="N37" s="32" t="str">
        <f>_xlfn.IFNA(VLOOKUP($C37&amp;","&amp;N3,汇编指令!$C$2:$D$235,2,FALSE),"-1")</f>
        <v>-1</v>
      </c>
      <c r="O37" s="33" t="str">
        <f>_xlfn.IFNA(VLOOKUP($C37&amp;","&amp;O3,汇编指令!$C$2:$D$235,2,FALSE),"-1")</f>
        <v>15</v>
      </c>
      <c r="P37" s="33" t="str">
        <f>_xlfn.IFNA(VLOOKUP($C37&amp;","&amp;P3,汇编指令!$C$2:$D$235,2,FALSE),"-1")</f>
        <v>16</v>
      </c>
      <c r="Q37" s="33" t="str">
        <f>_xlfn.IFNA(VLOOKUP($C37&amp;","&amp;Q3,汇编指令!$C$2:$D$235,2,FALSE),"-1")</f>
        <v>17</v>
      </c>
      <c r="R37" s="32" t="str">
        <f>_xlfn.IFNA(VLOOKUP($C37&amp;","&amp;R3,汇编指令!$C$2:$D$235,2,FALSE),"-1")</f>
        <v>-1</v>
      </c>
      <c r="S37" s="32" t="str">
        <f>_xlfn.IFNA(VLOOKUP($C37&amp;","&amp;S3,汇编指令!$C$2:$D$235,2,FALSE),"-1")</f>
        <v>-1</v>
      </c>
      <c r="T37" s="32" t="str">
        <f>_xlfn.IFNA(VLOOKUP($C37&amp;","&amp;T3,汇编指令!$C$2:$D$235,2,FALSE),"-1")</f>
        <v>-1</v>
      </c>
      <c r="U37" s="32" t="str">
        <f>_xlfn.IFNA(VLOOKUP($C37&amp;","&amp;U3,汇编指令!$C$2:$D$235,2,FALSE),"-1")</f>
        <v>-1</v>
      </c>
      <c r="V37" s="32" t="str">
        <f>_xlfn.IFNA(VLOOKUP($C37&amp;","&amp;V3,汇编指令!$C$2:$D$235,2,FALSE),"-1")</f>
        <v>-1</v>
      </c>
      <c r="W37" s="32" t="str">
        <f>_xlfn.IFNA(VLOOKUP($C37&amp;","&amp;W3,汇编指令!$C$2:$D$235,2,FALSE),"-1")</f>
        <v>-1</v>
      </c>
      <c r="X37" s="32" t="str">
        <f>_xlfn.IFNA(VLOOKUP($C37&amp;","&amp;X3,汇编指令!$C$2:$D$235,2,FALSE),"-1")</f>
        <v>-1</v>
      </c>
      <c r="Y37" s="32" t="str">
        <f>_xlfn.IFNA(VLOOKUP($C37&amp;","&amp;Y3,汇编指令!$C$2:$D$235,2,FALSE),"-1")</f>
        <v>-1</v>
      </c>
      <c r="Z37" s="32" t="str">
        <f>_xlfn.IFNA(VLOOKUP($C37&amp;","&amp;Z3,汇编指令!$C$2:$D$235,2,FALSE),"-1")</f>
        <v>-1</v>
      </c>
      <c r="AA37" s="32" t="str">
        <f>_xlfn.IFNA(VLOOKUP($C37&amp;","&amp;AA3,汇编指令!$C$2:$D$235,2,FALSE),"-1")</f>
        <v>-1</v>
      </c>
      <c r="AB37" s="53" t="str">
        <f>_xlfn.IFNA(VLOOKUP($C37&amp;","&amp;AB3,汇编指令!$C$2:$D$235,2,FALSE),"-1")</f>
        <v>-1</v>
      </c>
    </row>
    <row r="38" ht="20" customHeight="1" spans="1:28">
      <c r="A38" s="16">
        <v>1</v>
      </c>
      <c r="B38" s="21">
        <f t="shared" ref="B38:B47" si="8">ROW()-4</f>
        <v>34</v>
      </c>
      <c r="C38" s="24" t="s">
        <v>953</v>
      </c>
      <c r="D38" s="23" t="str">
        <f t="shared" si="6"/>
        <v>22</v>
      </c>
      <c r="E38" s="34" t="str">
        <f>_xlfn.IFNA(VLOOKUP($C38&amp;","&amp;E3,汇编指令!$C$2:$D$235,2,FALSE),"-1")</f>
        <v>-1</v>
      </c>
      <c r="F38" s="32" t="str">
        <f>_xlfn.IFNA(VLOOKUP($C38&amp;","&amp;F3,汇编指令!$C$2:$D$235,2,FALSE),"-1")</f>
        <v>-1</v>
      </c>
      <c r="G38" s="32" t="str">
        <f>_xlfn.IFNA(VLOOKUP($C38&amp;","&amp;G3,汇编指令!$C$2:$D$235,2,FALSE),"-1")</f>
        <v>-1</v>
      </c>
      <c r="H38" s="32" t="str">
        <f>_xlfn.IFNA(VLOOKUP($C38&amp;","&amp;H3,汇编指令!$C$2:$D$235,2,FALSE),"-1")</f>
        <v>-1</v>
      </c>
      <c r="I38" s="32" t="str">
        <f>_xlfn.IFNA(VLOOKUP($C38&amp;","&amp;I3,汇编指令!$C$2:$D$235,2,FALSE),"-1")</f>
        <v>-1</v>
      </c>
      <c r="J38" s="32" t="str">
        <f>_xlfn.IFNA(VLOOKUP($C38&amp;","&amp;J3,汇编指令!$C$2:$D$235,2,FALSE),"-1")</f>
        <v>-1</v>
      </c>
      <c r="K38" s="32" t="str">
        <f>_xlfn.IFNA(VLOOKUP($C38&amp;","&amp;K3,汇编指令!$C$2:$D$235,2,FALSE),"-1")</f>
        <v>-1</v>
      </c>
      <c r="L38" s="32" t="str">
        <f>_xlfn.IFNA(VLOOKUP($C38&amp;","&amp;L3,汇编指令!$C$2:$D$235,2,FALSE),"-1")</f>
        <v>-1</v>
      </c>
      <c r="M38" s="32" t="str">
        <f>_xlfn.IFNA(VLOOKUP($C38&amp;","&amp;M3,汇编指令!$C$2:$D$235,2,FALSE),"-1")</f>
        <v>-1</v>
      </c>
      <c r="N38" s="32" t="str">
        <f>_xlfn.IFNA(VLOOKUP($C38&amp;","&amp;N3,汇编指令!$C$2:$D$235,2,FALSE),"-1")</f>
        <v>-1</v>
      </c>
      <c r="O38" s="32" t="str">
        <f>_xlfn.IFNA(VLOOKUP($C38&amp;","&amp;O3,汇编指令!$C$2:$D$235,2,FALSE),"-1")</f>
        <v>-1</v>
      </c>
      <c r="P38" s="32" t="str">
        <f>_xlfn.IFNA(VLOOKUP($C38&amp;","&amp;P3,汇编指令!$C$2:$D$235,2,FALSE),"-1")</f>
        <v>-1</v>
      </c>
      <c r="Q38" s="32" t="str">
        <f>_xlfn.IFNA(VLOOKUP($C38&amp;","&amp;Q3,汇编指令!$C$2:$D$235,2,FALSE),"-1")</f>
        <v>-1</v>
      </c>
      <c r="R38" s="32" t="str">
        <f>_xlfn.IFNA(VLOOKUP($C38&amp;","&amp;R3,汇编指令!$C$2:$D$235,2,FALSE),"-1")</f>
        <v>-1</v>
      </c>
      <c r="S38" s="32" t="str">
        <f>_xlfn.IFNA(VLOOKUP($C38&amp;","&amp;S3,汇编指令!$C$2:$D$235,2,FALSE),"-1")</f>
        <v>-1</v>
      </c>
      <c r="T38" s="32" t="str">
        <f>_xlfn.IFNA(VLOOKUP($C38&amp;","&amp;T3,汇编指令!$C$2:$D$235,2,FALSE),"-1")</f>
        <v>-1</v>
      </c>
      <c r="U38" s="32" t="str">
        <f>_xlfn.IFNA(VLOOKUP($C38&amp;","&amp;U3,汇编指令!$C$2:$D$235,2,FALSE),"-1")</f>
        <v>-1</v>
      </c>
      <c r="V38" s="32" t="str">
        <f>_xlfn.IFNA(VLOOKUP($C38&amp;","&amp;V3,汇编指令!$C$2:$D$235,2,FALSE),"-1")</f>
        <v>-1</v>
      </c>
      <c r="W38" s="32" t="str">
        <f>_xlfn.IFNA(VLOOKUP($C38&amp;","&amp;W3,汇编指令!$C$2:$D$235,2,FALSE),"-1")</f>
        <v>-1</v>
      </c>
      <c r="X38" s="32" t="str">
        <f>_xlfn.IFNA(VLOOKUP($C38&amp;","&amp;X3,汇编指令!$C$2:$D$235,2,FALSE),"-1")</f>
        <v>-1</v>
      </c>
      <c r="Y38" s="32" t="str">
        <f>_xlfn.IFNA(VLOOKUP($C38&amp;","&amp;Y3,汇编指令!$C$2:$D$235,2,FALSE),"-1")</f>
        <v>-1</v>
      </c>
      <c r="Z38" s="32" t="str">
        <f>_xlfn.IFNA(VLOOKUP($C38&amp;","&amp;Z3,汇编指令!$C$2:$D$235,2,FALSE),"-1")</f>
        <v>-1</v>
      </c>
      <c r="AA38" s="33" t="str">
        <f>_xlfn.IFNA(VLOOKUP($C38&amp;","&amp;AA3,汇编指令!$C$2:$D$235,2,FALSE),"-1")</f>
        <v>84</v>
      </c>
      <c r="AB38" s="54" t="str">
        <f>_xlfn.IFNA(VLOOKUP($C38&amp;","&amp;AB3,汇编指令!$C$2:$D$235,2,FALSE),"-1")</f>
        <v>-1</v>
      </c>
    </row>
    <row r="39" s="7" customFormat="1" ht="20" customHeight="1" spans="1:29">
      <c r="A39" s="16">
        <v>1</v>
      </c>
      <c r="B39" s="21">
        <f t="shared" si="8"/>
        <v>35</v>
      </c>
      <c r="C39" s="24" t="s">
        <v>954</v>
      </c>
      <c r="D39" s="23" t="str">
        <f t="shared" si="6"/>
        <v>23</v>
      </c>
      <c r="E39" s="31" t="str">
        <f>_xlfn.IFNA(VLOOKUP($C39&amp;","&amp;E3,汇编指令!$C$2:$D$235,2,FALSE),"-1")</f>
        <v>4</v>
      </c>
      <c r="F39" s="33" t="str">
        <f>_xlfn.IFNA(VLOOKUP($C39&amp;","&amp;F3,汇编指令!$C$2:$D$235,2,FALSE),"-1")</f>
        <v>8</v>
      </c>
      <c r="G39" s="33" t="str">
        <f>_xlfn.IFNA(VLOOKUP($C39&amp;","&amp;G3,汇编指令!$C$2:$D$235,2,FALSE),"-1")</f>
        <v>9</v>
      </c>
      <c r="H39" s="33" t="str">
        <f>_xlfn.IFNA(VLOOKUP($C39&amp;","&amp;H3,汇编指令!$C$2:$D$235,2,FALSE),"-1")</f>
        <v>A</v>
      </c>
      <c r="I39" s="33" t="str">
        <f>_xlfn.IFNA(VLOOKUP($C39&amp;","&amp;I3,汇编指令!$C$2:$D$235,2,FALSE),"-1")</f>
        <v>B</v>
      </c>
      <c r="J39" s="33" t="str">
        <f>_xlfn.IFNA(VLOOKUP($C39&amp;","&amp;J3,汇编指令!$C$2:$D$235,2,FALSE),"-1")</f>
        <v>C</v>
      </c>
      <c r="K39" s="33" t="str">
        <f>_xlfn.IFNA(VLOOKUP($C39&amp;","&amp;K3,汇编指令!$C$2:$D$235,2,FALSE),"-1")</f>
        <v>D</v>
      </c>
      <c r="L39" s="33" t="str">
        <f>_xlfn.IFNA(VLOOKUP($C39&amp;","&amp;L3,汇编指令!$C$2:$D$235,2,FALSE),"-1")</f>
        <v>E</v>
      </c>
      <c r="M39" s="33" t="str">
        <f>_xlfn.IFNA(VLOOKUP($C39&amp;","&amp;M3,汇编指令!$C$2:$D$235,2,FALSE),"-1")</f>
        <v>F</v>
      </c>
      <c r="N39" s="33" t="str">
        <f>_xlfn.IFNA(VLOOKUP($C39&amp;","&amp;N3,汇编指令!$C$2:$D$235,2,FALSE),"-1")</f>
        <v>-1</v>
      </c>
      <c r="O39" s="33" t="str">
        <f>_xlfn.IFNA(VLOOKUP($C39&amp;","&amp;O3,汇编指令!$C$2:$D$235,2,FALSE),"-1")</f>
        <v>5</v>
      </c>
      <c r="P39" s="33" t="str">
        <f>_xlfn.IFNA(VLOOKUP($C39&amp;","&amp;P3,汇编指令!$C$2:$D$235,2,FALSE),"-1")</f>
        <v>6</v>
      </c>
      <c r="Q39" s="33" t="str">
        <f>_xlfn.IFNA(VLOOKUP($C39&amp;","&amp;Q3,汇编指令!$C$2:$D$235,2,FALSE),"-1")</f>
        <v>7</v>
      </c>
      <c r="R39" s="33" t="str">
        <f>_xlfn.IFNA(VLOOKUP($C39&amp;","&amp;R3,汇编指令!$C$2:$D$235,2,FALSE),"-1")</f>
        <v>A3</v>
      </c>
      <c r="S39" s="32" t="str">
        <f>_xlfn.IFNA(VLOOKUP($C39&amp;","&amp;S3,汇编指令!$C$2:$D$235,2,FALSE),"-1")</f>
        <v>-1</v>
      </c>
      <c r="T39" s="32" t="str">
        <f>_xlfn.IFNA(VLOOKUP($C39&amp;","&amp;T3,汇编指令!$C$2:$D$235,2,FALSE),"-1")</f>
        <v>-1</v>
      </c>
      <c r="U39" s="32" t="str">
        <f>_xlfn.IFNA(VLOOKUP($C39&amp;","&amp;U3,汇编指令!$C$2:$D$235,2,FALSE),"-1")</f>
        <v>-1</v>
      </c>
      <c r="V39" s="32" t="str">
        <f>_xlfn.IFNA(VLOOKUP($C39&amp;","&amp;V3,汇编指令!$C$2:$D$235,2,FALSE),"-1")</f>
        <v>-1</v>
      </c>
      <c r="W39" s="32" t="str">
        <f>_xlfn.IFNA(VLOOKUP($C39&amp;","&amp;W3,汇编指令!$C$2:$D$235,2,FALSE),"-1")</f>
        <v>-1</v>
      </c>
      <c r="X39" s="32" t="str">
        <f>_xlfn.IFNA(VLOOKUP($C39&amp;","&amp;X3,汇编指令!$C$2:$D$235,2,FALSE),"-1")</f>
        <v>-1</v>
      </c>
      <c r="Y39" s="32" t="str">
        <f>_xlfn.IFNA(VLOOKUP($C39&amp;","&amp;Y3,汇编指令!$C$2:$D$235,2,FALSE),"-1")</f>
        <v>-1</v>
      </c>
      <c r="Z39" s="32" t="str">
        <f>_xlfn.IFNA(VLOOKUP($C39&amp;","&amp;Z3,汇编指令!$C$2:$D$235,2,FALSE),"-1")</f>
        <v>-1</v>
      </c>
      <c r="AA39" s="32" t="str">
        <f>_xlfn.IFNA(VLOOKUP($C39&amp;","&amp;AA3,汇编指令!$C$2:$D$235,2,FALSE),"-1")</f>
        <v>-1</v>
      </c>
      <c r="AB39" s="53" t="str">
        <f>_xlfn.IFNA(VLOOKUP($C39&amp;","&amp;AB3,汇编指令!$C$2:$D$235,2,FALSE),"-1")</f>
        <v>-1</v>
      </c>
      <c r="AC39" s="55"/>
    </row>
    <row r="40" ht="20" customHeight="1" spans="1:28">
      <c r="A40" s="16">
        <v>1</v>
      </c>
      <c r="B40" s="21">
        <f t="shared" si="8"/>
        <v>36</v>
      </c>
      <c r="C40" s="24" t="s">
        <v>955</v>
      </c>
      <c r="D40" s="23" t="str">
        <f t="shared" si="6"/>
        <v>24</v>
      </c>
      <c r="E40" s="34" t="str">
        <f>_xlfn.IFNA(VLOOKUP($C40&amp;","&amp;E3,汇编指令!$C$2:$D$235,2,FALSE),"-1")</f>
        <v>-1</v>
      </c>
      <c r="F40" s="32" t="str">
        <f>_xlfn.IFNA(VLOOKUP($C40&amp;","&amp;F3,汇编指令!$C$2:$D$235,2,FALSE),"-1")</f>
        <v>-1</v>
      </c>
      <c r="G40" s="32" t="str">
        <f>_xlfn.IFNA(VLOOKUP($C40&amp;","&amp;G3,汇编指令!$C$2:$D$235,2,FALSE),"-1")</f>
        <v>-1</v>
      </c>
      <c r="H40" s="32" t="str">
        <f>_xlfn.IFNA(VLOOKUP($C40&amp;","&amp;H3,汇编指令!$C$2:$D$235,2,FALSE),"-1")</f>
        <v>-1</v>
      </c>
      <c r="I40" s="32" t="str">
        <f>_xlfn.IFNA(VLOOKUP($C40&amp;","&amp;I3,汇编指令!$C$2:$D$235,2,FALSE),"-1")</f>
        <v>-1</v>
      </c>
      <c r="J40" s="32" t="str">
        <f>_xlfn.IFNA(VLOOKUP($C40&amp;","&amp;J3,汇编指令!$C$2:$D$235,2,FALSE),"-1")</f>
        <v>-1</v>
      </c>
      <c r="K40" s="32" t="str">
        <f>_xlfn.IFNA(VLOOKUP($C40&amp;","&amp;K3,汇编指令!$C$2:$D$235,2,FALSE),"-1")</f>
        <v>-1</v>
      </c>
      <c r="L40" s="32" t="str">
        <f>_xlfn.IFNA(VLOOKUP($C40&amp;","&amp;L3,汇编指令!$C$2:$D$235,2,FALSE),"-1")</f>
        <v>-1</v>
      </c>
      <c r="M40" s="32" t="str">
        <f>_xlfn.IFNA(VLOOKUP($C40&amp;","&amp;M3,汇编指令!$C$2:$D$235,2,FALSE),"-1")</f>
        <v>-1</v>
      </c>
      <c r="N40" s="32" t="str">
        <f>_xlfn.IFNA(VLOOKUP($C40&amp;","&amp;N3,汇编指令!$C$2:$D$235,2,FALSE),"-1")</f>
        <v>-1</v>
      </c>
      <c r="O40" s="32" t="str">
        <f>_xlfn.IFNA(VLOOKUP($C40&amp;","&amp;O3,汇编指令!$C$2:$D$235,2,FALSE),"-1")</f>
        <v>-1</v>
      </c>
      <c r="P40" s="32" t="str">
        <f>_xlfn.IFNA(VLOOKUP($C40&amp;","&amp;P3,汇编指令!$C$2:$D$235,2,FALSE),"-1")</f>
        <v>-1</v>
      </c>
      <c r="Q40" s="32" t="str">
        <f>_xlfn.IFNA(VLOOKUP($C40&amp;","&amp;Q3,汇编指令!$C$2:$D$235,2,FALSE),"-1")</f>
        <v>-1</v>
      </c>
      <c r="R40" s="32" t="str">
        <f>_xlfn.IFNA(VLOOKUP($C40&amp;","&amp;R3,汇编指令!$C$2:$D$235,2,FALSE),"-1")</f>
        <v>-1</v>
      </c>
      <c r="S40" s="32" t="str">
        <f>_xlfn.IFNA(VLOOKUP($C40&amp;","&amp;S3,汇编指令!$C$2:$D$235,2,FALSE),"-1")</f>
        <v>-1</v>
      </c>
      <c r="T40" s="32" t="str">
        <f>_xlfn.IFNA(VLOOKUP($C40&amp;","&amp;T3,汇编指令!$C$2:$D$235,2,FALSE),"-1")</f>
        <v>-1</v>
      </c>
      <c r="U40" s="32" t="str">
        <f>_xlfn.IFNA(VLOOKUP($C40&amp;","&amp;U3,汇编指令!$C$2:$D$235,2,FALSE),"-1")</f>
        <v>-1</v>
      </c>
      <c r="V40" s="32" t="str">
        <f>_xlfn.IFNA(VLOOKUP($C40&amp;","&amp;V3,汇编指令!$C$2:$D$235,2,FALSE),"-1")</f>
        <v>-1</v>
      </c>
      <c r="W40" s="32" t="str">
        <f>_xlfn.IFNA(VLOOKUP($C40&amp;","&amp;W3,汇编指令!$C$2:$D$235,2,FALSE),"-1")</f>
        <v>-1</v>
      </c>
      <c r="X40" s="33" t="str">
        <f>_xlfn.IFNA(VLOOKUP($C40&amp;","&amp;X3,汇编指令!$C$2:$D$235,2,FALSE),"-1")</f>
        <v>40</v>
      </c>
      <c r="Y40" s="32" t="str">
        <f>_xlfn.IFNA(VLOOKUP($C40&amp;","&amp;Y3,汇编指令!$C$2:$D$235,2,FALSE),"-1")</f>
        <v>-1</v>
      </c>
      <c r="Z40" s="32" t="str">
        <f>_xlfn.IFNA(VLOOKUP($C40&amp;","&amp;Z3,汇编指令!$C$2:$D$235,2,FALSE),"-1")</f>
        <v>-1</v>
      </c>
      <c r="AA40" s="32" t="str">
        <f>_xlfn.IFNA(VLOOKUP($C40&amp;","&amp;AA3,汇编指令!$C$2:$D$235,2,FALSE),"-1")</f>
        <v>-1</v>
      </c>
      <c r="AB40" s="53" t="str">
        <f>_xlfn.IFNA(VLOOKUP($C40&amp;","&amp;AB3,汇编指令!$C$2:$D$235,2,FALSE),"-1")</f>
        <v>-1</v>
      </c>
    </row>
    <row r="41" ht="20" customHeight="1" spans="1:28">
      <c r="A41" s="16">
        <v>1</v>
      </c>
      <c r="B41" s="21">
        <f t="shared" si="8"/>
        <v>37</v>
      </c>
      <c r="C41" s="24" t="s">
        <v>956</v>
      </c>
      <c r="D41" s="23" t="str">
        <f t="shared" si="6"/>
        <v>25</v>
      </c>
      <c r="E41" s="34" t="str">
        <f>_xlfn.IFNA(VLOOKUP($C41&amp;","&amp;E3,汇编指令!$C$2:$D$235,2,FALSE),"-1")</f>
        <v>-1</v>
      </c>
      <c r="F41" s="32" t="str">
        <f>_xlfn.IFNA(VLOOKUP($C41&amp;","&amp;F3,汇编指令!$C$2:$D$235,2,FALSE),"-1")</f>
        <v>-1</v>
      </c>
      <c r="G41" s="32" t="str">
        <f>_xlfn.IFNA(VLOOKUP($C41&amp;","&amp;G3,汇编指令!$C$2:$D$235,2,FALSE),"-1")</f>
        <v>-1</v>
      </c>
      <c r="H41" s="32" t="str">
        <f>_xlfn.IFNA(VLOOKUP($C41&amp;","&amp;H3,汇编指令!$C$2:$D$235,2,FALSE),"-1")</f>
        <v>-1</v>
      </c>
      <c r="I41" s="32" t="str">
        <f>_xlfn.IFNA(VLOOKUP($C41&amp;","&amp;I3,汇编指令!$C$2:$D$235,2,FALSE),"-1")</f>
        <v>-1</v>
      </c>
      <c r="J41" s="32" t="str">
        <f>_xlfn.IFNA(VLOOKUP($C41&amp;","&amp;J3,汇编指令!$C$2:$D$235,2,FALSE),"-1")</f>
        <v>-1</v>
      </c>
      <c r="K41" s="32" t="str">
        <f>_xlfn.IFNA(VLOOKUP($C41&amp;","&amp;K3,汇编指令!$C$2:$D$235,2,FALSE),"-1")</f>
        <v>-1</v>
      </c>
      <c r="L41" s="32" t="str">
        <f>_xlfn.IFNA(VLOOKUP($C41&amp;","&amp;L3,汇编指令!$C$2:$D$235,2,FALSE),"-1")</f>
        <v>-1</v>
      </c>
      <c r="M41" s="32" t="str">
        <f>_xlfn.IFNA(VLOOKUP($C41&amp;","&amp;M3,汇编指令!$C$2:$D$235,2,FALSE),"-1")</f>
        <v>-1</v>
      </c>
      <c r="N41" s="32" t="str">
        <f>_xlfn.IFNA(VLOOKUP($C41&amp;","&amp;N3,汇编指令!$C$2:$D$235,2,FALSE),"-1")</f>
        <v>-1</v>
      </c>
      <c r="O41" s="32" t="str">
        <f>_xlfn.IFNA(VLOOKUP($C41&amp;","&amp;O3,汇编指令!$C$2:$D$235,2,FALSE),"-1")</f>
        <v>-1</v>
      </c>
      <c r="P41" s="32" t="str">
        <f>_xlfn.IFNA(VLOOKUP($C41&amp;","&amp;P3,汇编指令!$C$2:$D$235,2,FALSE),"-1")</f>
        <v>-1</v>
      </c>
      <c r="Q41" s="32" t="str">
        <f>_xlfn.IFNA(VLOOKUP($C41&amp;","&amp;Q3,汇编指令!$C$2:$D$235,2,FALSE),"-1")</f>
        <v>-1</v>
      </c>
      <c r="R41" s="32" t="str">
        <f>_xlfn.IFNA(VLOOKUP($C41&amp;","&amp;R3,汇编指令!$C$2:$D$235,2,FALSE),"-1")</f>
        <v>-1</v>
      </c>
      <c r="S41" s="32" t="str">
        <f>_xlfn.IFNA(VLOOKUP($C41&amp;","&amp;S3,汇编指令!$C$2:$D$235,2,FALSE),"-1")</f>
        <v>-1</v>
      </c>
      <c r="T41" s="32" t="str">
        <f>_xlfn.IFNA(VLOOKUP($C41&amp;","&amp;T3,汇编指令!$C$2:$D$235,2,FALSE),"-1")</f>
        <v>-1</v>
      </c>
      <c r="U41" s="33" t="str">
        <f>_xlfn.IFNA(VLOOKUP($C41&amp;","&amp;U3,汇编指令!$C$2:$D$235,2,FALSE),"-1")</f>
        <v>73</v>
      </c>
      <c r="V41" s="32" t="str">
        <f>_xlfn.IFNA(VLOOKUP($C41&amp;","&amp;V3,汇编指令!$C$2:$D$235,2,FALSE),"-1")</f>
        <v>-1</v>
      </c>
      <c r="W41" s="32" t="str">
        <f>_xlfn.IFNA(VLOOKUP($C41&amp;","&amp;W3,汇编指令!$C$2:$D$235,2,FALSE),"-1")</f>
        <v>-1</v>
      </c>
      <c r="X41" s="32" t="str">
        <f>_xlfn.IFNA(VLOOKUP($C41&amp;","&amp;X3,汇编指令!$C$2:$D$235,2,FALSE),"-1")</f>
        <v>-1</v>
      </c>
      <c r="Y41" s="32" t="str">
        <f>_xlfn.IFNA(VLOOKUP($C41&amp;","&amp;Y3,汇编指令!$C$2:$D$235,2,FALSE),"-1")</f>
        <v>-1</v>
      </c>
      <c r="Z41" s="32" t="str">
        <f>_xlfn.IFNA(VLOOKUP($C41&amp;","&amp;Z3,汇编指令!$C$2:$D$235,2,FALSE),"-1")</f>
        <v>-1</v>
      </c>
      <c r="AA41" s="32" t="str">
        <f>_xlfn.IFNA(VLOOKUP($C41&amp;","&amp;AA3,汇编指令!$C$2:$D$235,2,FALSE),"-1")</f>
        <v>-1</v>
      </c>
      <c r="AB41" s="53" t="str">
        <f>_xlfn.IFNA(VLOOKUP($C41&amp;","&amp;AB3,汇编指令!$C$2:$D$235,2,FALSE),"-1")</f>
        <v>-1</v>
      </c>
    </row>
    <row r="42" ht="20" customHeight="1" spans="1:28">
      <c r="A42" s="16">
        <v>1</v>
      </c>
      <c r="B42" s="21">
        <f t="shared" si="8"/>
        <v>38</v>
      </c>
      <c r="C42" s="24" t="s">
        <v>957</v>
      </c>
      <c r="D42" s="23" t="str">
        <f t="shared" si="6"/>
        <v>26</v>
      </c>
      <c r="E42" s="34" t="str">
        <f>_xlfn.IFNA(VLOOKUP($C42&amp;","&amp;E3,汇编指令!$C$2:$D$235,2,FALSE),"-1")</f>
        <v>-1</v>
      </c>
      <c r="F42" s="32" t="str">
        <f>_xlfn.IFNA(VLOOKUP($C42&amp;","&amp;F3,汇编指令!$C$2:$D$235,2,FALSE),"-1")</f>
        <v>-1</v>
      </c>
      <c r="G42" s="32" t="str">
        <f>_xlfn.IFNA(VLOOKUP($C42&amp;","&amp;G3,汇编指令!$C$2:$D$235,2,FALSE),"-1")</f>
        <v>-1</v>
      </c>
      <c r="H42" s="32" t="str">
        <f>_xlfn.IFNA(VLOOKUP($C42&amp;","&amp;H3,汇编指令!$C$2:$D$235,2,FALSE),"-1")</f>
        <v>-1</v>
      </c>
      <c r="I42" s="32" t="str">
        <f>_xlfn.IFNA(VLOOKUP($C42&amp;","&amp;I3,汇编指令!$C$2:$D$235,2,FALSE),"-1")</f>
        <v>-1</v>
      </c>
      <c r="J42" s="32" t="str">
        <f>_xlfn.IFNA(VLOOKUP($C42&amp;","&amp;J3,汇编指令!$C$2:$D$235,2,FALSE),"-1")</f>
        <v>-1</v>
      </c>
      <c r="K42" s="32" t="str">
        <f>_xlfn.IFNA(VLOOKUP($C42&amp;","&amp;K3,汇编指令!$C$2:$D$235,2,FALSE),"-1")</f>
        <v>-1</v>
      </c>
      <c r="L42" s="32" t="str">
        <f>_xlfn.IFNA(VLOOKUP($C42&amp;","&amp;L3,汇编指令!$C$2:$D$235,2,FALSE),"-1")</f>
        <v>-1</v>
      </c>
      <c r="M42" s="32" t="str">
        <f>_xlfn.IFNA(VLOOKUP($C42&amp;","&amp;M3,汇编指令!$C$2:$D$235,2,FALSE),"-1")</f>
        <v>-1</v>
      </c>
      <c r="N42" s="32" t="str">
        <f>_xlfn.IFNA(VLOOKUP($C42&amp;","&amp;N3,汇编指令!$C$2:$D$235,2,FALSE),"-1")</f>
        <v>-1</v>
      </c>
      <c r="O42" s="32" t="str">
        <f>_xlfn.IFNA(VLOOKUP($C42&amp;","&amp;O3,汇编指令!$C$2:$D$235,2,FALSE),"-1")</f>
        <v>-1</v>
      </c>
      <c r="P42" s="32" t="str">
        <f>_xlfn.IFNA(VLOOKUP($C42&amp;","&amp;P3,汇编指令!$C$2:$D$235,2,FALSE),"-1")</f>
        <v>-1</v>
      </c>
      <c r="Q42" s="32" t="str">
        <f>_xlfn.IFNA(VLOOKUP($C42&amp;","&amp;Q3,汇编指令!$C$2:$D$235,2,FALSE),"-1")</f>
        <v>-1</v>
      </c>
      <c r="R42" s="32" t="str">
        <f>_xlfn.IFNA(VLOOKUP($C42&amp;","&amp;R3,汇编指令!$C$2:$D$235,2,FALSE),"-1")</f>
        <v>-1</v>
      </c>
      <c r="S42" s="32" t="str">
        <f>_xlfn.IFNA(VLOOKUP($C42&amp;","&amp;S3,汇编指令!$C$2:$D$235,2,FALSE),"-1")</f>
        <v>-1</v>
      </c>
      <c r="T42" s="32" t="str">
        <f>_xlfn.IFNA(VLOOKUP($C42&amp;","&amp;T3,汇编指令!$C$2:$D$235,2,FALSE),"-1")</f>
        <v>-1</v>
      </c>
      <c r="U42" s="32" t="str">
        <f>_xlfn.IFNA(VLOOKUP($C42&amp;","&amp;U3,汇编指令!$C$2:$D$235,2,FALSE),"-1")</f>
        <v>-1</v>
      </c>
      <c r="V42" s="32" t="str">
        <f>_xlfn.IFNA(VLOOKUP($C42&amp;","&amp;V3,汇编指令!$C$2:$D$235,2,FALSE),"-1")</f>
        <v>-1</v>
      </c>
      <c r="W42" s="32" t="str">
        <f>_xlfn.IFNA(VLOOKUP($C42&amp;","&amp;W3,汇编指令!$C$2:$D$235,2,FALSE),"-1")</f>
        <v>-1</v>
      </c>
      <c r="X42" s="33" t="str">
        <f>_xlfn.IFNA(VLOOKUP($C42&amp;","&amp;X3,汇编指令!$C$2:$D$235,2,FALSE),"-1")</f>
        <v>50</v>
      </c>
      <c r="Y42" s="32" t="str">
        <f>_xlfn.IFNA(VLOOKUP($C42&amp;","&amp;Y3,汇编指令!$C$2:$D$235,2,FALSE),"-1")</f>
        <v>-1</v>
      </c>
      <c r="Z42" s="32" t="str">
        <f>_xlfn.IFNA(VLOOKUP($C42&amp;","&amp;Z3,汇编指令!$C$2:$D$235,2,FALSE),"-1")</f>
        <v>-1</v>
      </c>
      <c r="AA42" s="32" t="str">
        <f>_xlfn.IFNA(VLOOKUP($C42&amp;","&amp;AA3,汇编指令!$C$2:$D$235,2,FALSE),"-1")</f>
        <v>-1</v>
      </c>
      <c r="AB42" s="53" t="str">
        <f>_xlfn.IFNA(VLOOKUP($C42&amp;","&amp;AB3,汇编指令!$C$2:$D$235,2,FALSE),"-1")</f>
        <v>-1</v>
      </c>
    </row>
    <row r="43" ht="20" customHeight="1" spans="1:28">
      <c r="A43" s="16">
        <v>1</v>
      </c>
      <c r="B43" s="21">
        <f t="shared" si="8"/>
        <v>39</v>
      </c>
      <c r="C43" s="24" t="s">
        <v>958</v>
      </c>
      <c r="D43" s="23" t="str">
        <f t="shared" si="6"/>
        <v>27</v>
      </c>
      <c r="E43" s="34" t="str">
        <f>_xlfn.IFNA(VLOOKUP($C43&amp;","&amp;E3,汇编指令!$C$2:$D$235,2,FALSE),"-1")</f>
        <v>-1</v>
      </c>
      <c r="F43" s="32" t="str">
        <f>_xlfn.IFNA(VLOOKUP($C43&amp;","&amp;F3,汇编指令!$C$2:$D$235,2,FALSE),"-1")</f>
        <v>-1</v>
      </c>
      <c r="G43" s="32" t="str">
        <f>_xlfn.IFNA(VLOOKUP($C43&amp;","&amp;G3,汇编指令!$C$2:$D$235,2,FALSE),"-1")</f>
        <v>-1</v>
      </c>
      <c r="H43" s="32" t="str">
        <f>_xlfn.IFNA(VLOOKUP($C43&amp;","&amp;H3,汇编指令!$C$2:$D$235,2,FALSE),"-1")</f>
        <v>-1</v>
      </c>
      <c r="I43" s="32" t="str">
        <f>_xlfn.IFNA(VLOOKUP($C43&amp;","&amp;I3,汇编指令!$C$2:$D$235,2,FALSE),"-1")</f>
        <v>-1</v>
      </c>
      <c r="J43" s="32" t="str">
        <f>_xlfn.IFNA(VLOOKUP($C43&amp;","&amp;J3,汇编指令!$C$2:$D$235,2,FALSE),"-1")</f>
        <v>-1</v>
      </c>
      <c r="K43" s="32" t="str">
        <f>_xlfn.IFNA(VLOOKUP($C43&amp;","&amp;K3,汇编指令!$C$2:$D$235,2,FALSE),"-1")</f>
        <v>-1</v>
      </c>
      <c r="L43" s="32" t="str">
        <f>_xlfn.IFNA(VLOOKUP($C43&amp;","&amp;L3,汇编指令!$C$2:$D$235,2,FALSE),"-1")</f>
        <v>-1</v>
      </c>
      <c r="M43" s="32" t="str">
        <f>_xlfn.IFNA(VLOOKUP($C43&amp;","&amp;M3,汇编指令!$C$2:$D$235,2,FALSE),"-1")</f>
        <v>-1</v>
      </c>
      <c r="N43" s="32" t="str">
        <f>_xlfn.IFNA(VLOOKUP($C43&amp;","&amp;N3,汇编指令!$C$2:$D$235,2,FALSE),"-1")</f>
        <v>-1</v>
      </c>
      <c r="O43" s="32" t="str">
        <f>_xlfn.IFNA(VLOOKUP($C43&amp;","&amp;O3,汇编指令!$C$2:$D$235,2,FALSE),"-1")</f>
        <v>-1</v>
      </c>
      <c r="P43" s="32" t="str">
        <f>_xlfn.IFNA(VLOOKUP($C43&amp;","&amp;P3,汇编指令!$C$2:$D$235,2,FALSE),"-1")</f>
        <v>-1</v>
      </c>
      <c r="Q43" s="32" t="str">
        <f>_xlfn.IFNA(VLOOKUP($C43&amp;","&amp;Q3,汇编指令!$C$2:$D$235,2,FALSE),"-1")</f>
        <v>-1</v>
      </c>
      <c r="R43" s="32" t="str">
        <f>_xlfn.IFNA(VLOOKUP($C43&amp;","&amp;R3,汇编指令!$C$2:$D$235,2,FALSE),"-1")</f>
        <v>-1</v>
      </c>
      <c r="S43" s="32" t="str">
        <f>_xlfn.IFNA(VLOOKUP($C43&amp;","&amp;S3,汇编指令!$C$2:$D$235,2,FALSE),"-1")</f>
        <v>-1</v>
      </c>
      <c r="T43" s="32" t="str">
        <f>_xlfn.IFNA(VLOOKUP($C43&amp;","&amp;T3,汇编指令!$C$2:$D$235,2,FALSE),"-1")</f>
        <v>-1</v>
      </c>
      <c r="U43" s="32" t="str">
        <f>_xlfn.IFNA(VLOOKUP($C43&amp;","&amp;U3,汇编指令!$C$2:$D$235,2,FALSE),"-1")</f>
        <v>-1</v>
      </c>
      <c r="V43" s="32" t="str">
        <f>_xlfn.IFNA(VLOOKUP($C43&amp;","&amp;V3,汇编指令!$C$2:$D$235,2,FALSE),"-1")</f>
        <v>-1</v>
      </c>
      <c r="W43" s="32" t="str">
        <f>_xlfn.IFNA(VLOOKUP($C43&amp;","&amp;W3,汇编指令!$C$2:$D$235,2,FALSE),"-1")</f>
        <v>-1</v>
      </c>
      <c r="X43" s="33" t="str">
        <f>_xlfn.IFNA(VLOOKUP($C43&amp;","&amp;X3,汇编指令!$C$2:$D$235,2,FALSE),"-1")</f>
        <v>70</v>
      </c>
      <c r="Y43" s="32" t="str">
        <f>_xlfn.IFNA(VLOOKUP($C43&amp;","&amp;Y3,汇编指令!$C$2:$D$235,2,FALSE),"-1")</f>
        <v>-1</v>
      </c>
      <c r="Z43" s="32" t="str">
        <f>_xlfn.IFNA(VLOOKUP($C43&amp;","&amp;Z3,汇编指令!$C$2:$D$235,2,FALSE),"-1")</f>
        <v>-1</v>
      </c>
      <c r="AA43" s="32" t="str">
        <f>_xlfn.IFNA(VLOOKUP($C43&amp;","&amp;AA3,汇编指令!$C$2:$D$235,2,FALSE),"-1")</f>
        <v>-1</v>
      </c>
      <c r="AB43" s="53" t="str">
        <f>_xlfn.IFNA(VLOOKUP($C43&amp;","&amp;AB3,汇编指令!$C$2:$D$235,2,FALSE),"-1")</f>
        <v>-1</v>
      </c>
    </row>
    <row r="44" ht="20" customHeight="1" spans="1:28">
      <c r="A44" s="16">
        <v>1</v>
      </c>
      <c r="B44" s="21">
        <f t="shared" si="8"/>
        <v>40</v>
      </c>
      <c r="C44" s="24" t="s">
        <v>959</v>
      </c>
      <c r="D44" s="23" t="str">
        <f t="shared" si="6"/>
        <v>28</v>
      </c>
      <c r="E44" s="34" t="str">
        <f>_xlfn.IFNA(VLOOKUP($C44&amp;","&amp;E3,汇编指令!$C$2:$D$235,2,FALSE),"-1")</f>
        <v>-1</v>
      </c>
      <c r="F44" s="32" t="str">
        <f>_xlfn.IFNA(VLOOKUP($C44&amp;","&amp;F3,汇编指令!$C$2:$D$235,2,FALSE),"-1")</f>
        <v>-1</v>
      </c>
      <c r="G44" s="32" t="str">
        <f>_xlfn.IFNA(VLOOKUP($C44&amp;","&amp;G3,汇编指令!$C$2:$D$235,2,FALSE),"-1")</f>
        <v>-1</v>
      </c>
      <c r="H44" s="32" t="str">
        <f>_xlfn.IFNA(VLOOKUP($C44&amp;","&amp;H3,汇编指令!$C$2:$D$235,2,FALSE),"-1")</f>
        <v>-1</v>
      </c>
      <c r="I44" s="32" t="str">
        <f>_xlfn.IFNA(VLOOKUP($C44&amp;","&amp;I3,汇编指令!$C$2:$D$235,2,FALSE),"-1")</f>
        <v>-1</v>
      </c>
      <c r="J44" s="32" t="str">
        <f>_xlfn.IFNA(VLOOKUP($C44&amp;","&amp;J3,汇编指令!$C$2:$D$235,2,FALSE),"-1")</f>
        <v>-1</v>
      </c>
      <c r="K44" s="32" t="str">
        <f>_xlfn.IFNA(VLOOKUP($C44&amp;","&amp;K3,汇编指令!$C$2:$D$235,2,FALSE),"-1")</f>
        <v>-1</v>
      </c>
      <c r="L44" s="32" t="str">
        <f>_xlfn.IFNA(VLOOKUP($C44&amp;","&amp;L3,汇编指令!$C$2:$D$235,2,FALSE),"-1")</f>
        <v>-1</v>
      </c>
      <c r="M44" s="32" t="str">
        <f>_xlfn.IFNA(VLOOKUP($C44&amp;","&amp;M3,汇编指令!$C$2:$D$235,2,FALSE),"-1")</f>
        <v>-1</v>
      </c>
      <c r="N44" s="32" t="str">
        <f>_xlfn.IFNA(VLOOKUP($C44&amp;","&amp;N3,汇编指令!$C$2:$D$235,2,FALSE),"-1")</f>
        <v>-1</v>
      </c>
      <c r="O44" s="32" t="str">
        <f>_xlfn.IFNA(VLOOKUP($C44&amp;","&amp;O3,汇编指令!$C$2:$D$235,2,FALSE),"-1")</f>
        <v>-1</v>
      </c>
      <c r="P44" s="32" t="str">
        <f>_xlfn.IFNA(VLOOKUP($C44&amp;","&amp;P3,汇编指令!$C$2:$D$235,2,FALSE),"-1")</f>
        <v>-1</v>
      </c>
      <c r="Q44" s="32" t="str">
        <f>_xlfn.IFNA(VLOOKUP($C44&amp;","&amp;Q3,汇编指令!$C$2:$D$235,2,FALSE),"-1")</f>
        <v>-1</v>
      </c>
      <c r="R44" s="32" t="str">
        <f>_xlfn.IFNA(VLOOKUP($C44&amp;","&amp;R3,汇编指令!$C$2:$D$235,2,FALSE),"-1")</f>
        <v>-1</v>
      </c>
      <c r="S44" s="32" t="str">
        <f>_xlfn.IFNA(VLOOKUP($C44&amp;","&amp;S3,汇编指令!$C$2:$D$235,2,FALSE),"-1")</f>
        <v>-1</v>
      </c>
      <c r="T44" s="32" t="str">
        <f>_xlfn.IFNA(VLOOKUP($C44&amp;","&amp;T3,汇编指令!$C$2:$D$235,2,FALSE),"-1")</f>
        <v>-1</v>
      </c>
      <c r="U44" s="32" t="str">
        <f>_xlfn.IFNA(VLOOKUP($C44&amp;","&amp;U3,汇编指令!$C$2:$D$235,2,FALSE),"-1")</f>
        <v>-1</v>
      </c>
      <c r="V44" s="32" t="str">
        <f>_xlfn.IFNA(VLOOKUP($C44&amp;","&amp;V3,汇编指令!$C$2:$D$235,2,FALSE),"-1")</f>
        <v>-1</v>
      </c>
      <c r="W44" s="32" t="str">
        <f>_xlfn.IFNA(VLOOKUP($C44&amp;","&amp;W3,汇编指令!$C$2:$D$235,2,FALSE),"-1")</f>
        <v>-1</v>
      </c>
      <c r="X44" s="33" t="str">
        <f>_xlfn.IFNA(VLOOKUP($C44&amp;","&amp;X3,汇编指令!$C$2:$D$235,2,FALSE),"-1")</f>
        <v>60</v>
      </c>
      <c r="Y44" s="32" t="str">
        <f>_xlfn.IFNA(VLOOKUP($C44&amp;","&amp;Y3,汇编指令!$C$2:$D$235,2,FALSE),"-1")</f>
        <v>-1</v>
      </c>
      <c r="Z44" s="32" t="str">
        <f>_xlfn.IFNA(VLOOKUP($C44&amp;","&amp;Z3,汇编指令!$C$2:$D$235,2,FALSE),"-1")</f>
        <v>-1</v>
      </c>
      <c r="AA44" s="32" t="str">
        <f>_xlfn.IFNA(VLOOKUP($C44&amp;","&amp;AA3,汇编指令!$C$2:$D$235,2,FALSE),"-1")</f>
        <v>-1</v>
      </c>
      <c r="AB44" s="53" t="str">
        <f>_xlfn.IFNA(VLOOKUP($C44&amp;","&amp;AB3,汇编指令!$C$2:$D$235,2,FALSE),"-1")</f>
        <v>-1</v>
      </c>
    </row>
    <row r="45" ht="20" customHeight="1" spans="1:28">
      <c r="A45" s="16">
        <v>1</v>
      </c>
      <c r="B45" s="21">
        <f t="shared" si="8"/>
        <v>41</v>
      </c>
      <c r="C45" s="24" t="s">
        <v>960</v>
      </c>
      <c r="D45" s="23" t="str">
        <f t="shared" si="6"/>
        <v>29</v>
      </c>
      <c r="E45" s="34" t="str">
        <f>_xlfn.IFNA(VLOOKUP($C45&amp;","&amp;E3,汇编指令!$C$2:$D$235,2,FALSE),"-1")</f>
        <v>-1</v>
      </c>
      <c r="F45" s="32" t="str">
        <f>_xlfn.IFNA(VLOOKUP($C45&amp;","&amp;F3,汇编指令!$C$2:$D$235,2,FALSE),"-1")</f>
        <v>-1</v>
      </c>
      <c r="G45" s="32" t="str">
        <f>_xlfn.IFNA(VLOOKUP($C45&amp;","&amp;G3,汇编指令!$C$2:$D$235,2,FALSE),"-1")</f>
        <v>-1</v>
      </c>
      <c r="H45" s="32" t="str">
        <f>_xlfn.IFNA(VLOOKUP($C45&amp;","&amp;H3,汇编指令!$C$2:$D$235,2,FALSE),"-1")</f>
        <v>-1</v>
      </c>
      <c r="I45" s="32" t="str">
        <f>_xlfn.IFNA(VLOOKUP($C45&amp;","&amp;I3,汇编指令!$C$2:$D$235,2,FALSE),"-1")</f>
        <v>-1</v>
      </c>
      <c r="J45" s="32" t="str">
        <f>_xlfn.IFNA(VLOOKUP($C45&amp;","&amp;J3,汇编指令!$C$2:$D$235,2,FALSE),"-1")</f>
        <v>-1</v>
      </c>
      <c r="K45" s="32" t="str">
        <f>_xlfn.IFNA(VLOOKUP($C45&amp;","&amp;K3,汇编指令!$C$2:$D$235,2,FALSE),"-1")</f>
        <v>-1</v>
      </c>
      <c r="L45" s="32" t="str">
        <f>_xlfn.IFNA(VLOOKUP($C45&amp;","&amp;L3,汇编指令!$C$2:$D$235,2,FALSE),"-1")</f>
        <v>-1</v>
      </c>
      <c r="M45" s="32" t="str">
        <f>_xlfn.IFNA(VLOOKUP($C45&amp;","&amp;M3,汇编指令!$C$2:$D$235,2,FALSE),"-1")</f>
        <v>-1</v>
      </c>
      <c r="N45" s="32" t="str">
        <f>_xlfn.IFNA(VLOOKUP($C45&amp;","&amp;N3,汇编指令!$C$2:$D$235,2,FALSE),"-1")</f>
        <v>-1</v>
      </c>
      <c r="O45" s="32" t="str">
        <f>_xlfn.IFNA(VLOOKUP($C45&amp;","&amp;O3,汇编指令!$C$2:$D$235,2,FALSE),"-1")</f>
        <v>-1</v>
      </c>
      <c r="P45" s="32" t="str">
        <f>_xlfn.IFNA(VLOOKUP($C45&amp;","&amp;P3,汇编指令!$C$2:$D$235,2,FALSE),"-1")</f>
        <v>-1</v>
      </c>
      <c r="Q45" s="32" t="str">
        <f>_xlfn.IFNA(VLOOKUP($C45&amp;","&amp;Q3,汇编指令!$C$2:$D$235,2,FALSE),"-1")</f>
        <v>-1</v>
      </c>
      <c r="R45" s="32" t="str">
        <f>_xlfn.IFNA(VLOOKUP($C45&amp;","&amp;R3,汇编指令!$C$2:$D$235,2,FALSE),"-1")</f>
        <v>-1</v>
      </c>
      <c r="S45" s="32" t="str">
        <f>_xlfn.IFNA(VLOOKUP($C45&amp;","&amp;S3,汇编指令!$C$2:$D$235,2,FALSE),"-1")</f>
        <v>-1</v>
      </c>
      <c r="T45" s="32" t="str">
        <f>_xlfn.IFNA(VLOOKUP($C45&amp;","&amp;T3,汇编指令!$C$2:$D$235,2,FALSE),"-1")</f>
        <v>-1</v>
      </c>
      <c r="U45" s="32" t="str">
        <f>_xlfn.IFNA(VLOOKUP($C45&amp;","&amp;U3,汇编指令!$C$2:$D$235,2,FALSE),"-1")</f>
        <v>-1</v>
      </c>
      <c r="V45" s="32" t="str">
        <f>_xlfn.IFNA(VLOOKUP($C45&amp;","&amp;V3,汇编指令!$C$2:$D$235,2,FALSE),"-1")</f>
        <v>-1</v>
      </c>
      <c r="W45" s="33" t="str">
        <f>_xlfn.IFNA(VLOOKUP($C45&amp;","&amp;W3,汇编指令!$C$2:$D$235,2,FALSE),"-1")</f>
        <v>12</v>
      </c>
      <c r="X45" s="32" t="str">
        <f>_xlfn.IFNA(VLOOKUP($C45&amp;","&amp;X3,汇编指令!$C$2:$D$235,2,FALSE),"-1")</f>
        <v>-1</v>
      </c>
      <c r="Y45" s="32" t="str">
        <f>_xlfn.IFNA(VLOOKUP($C45&amp;","&amp;Y3,汇编指令!$C$2:$D$235,2,FALSE),"-1")</f>
        <v>-1</v>
      </c>
      <c r="Z45" s="32" t="str">
        <f>_xlfn.IFNA(VLOOKUP($C45&amp;","&amp;Z3,汇编指令!$C$2:$D$235,2,FALSE),"-1")</f>
        <v>-1</v>
      </c>
      <c r="AA45" s="32" t="str">
        <f>_xlfn.IFNA(VLOOKUP($C45&amp;","&amp;AA3,汇编指令!$C$2:$D$235,2,FALSE),"-1")</f>
        <v>-1</v>
      </c>
      <c r="AB45" s="53" t="str">
        <f>_xlfn.IFNA(VLOOKUP($C45&amp;","&amp;AB3,汇编指令!$C$2:$D$235,2,FALSE),"-1")</f>
        <v>-1</v>
      </c>
    </row>
    <row r="46" ht="20" customHeight="1" spans="1:28">
      <c r="A46" s="16">
        <v>1</v>
      </c>
      <c r="B46" s="21">
        <f t="shared" si="8"/>
        <v>42</v>
      </c>
      <c r="C46" s="24" t="s">
        <v>961</v>
      </c>
      <c r="D46" s="23" t="str">
        <f t="shared" si="6"/>
        <v>2A</v>
      </c>
      <c r="E46" s="34" t="str">
        <f>_xlfn.IFNA(VLOOKUP($C46&amp;","&amp;E3,汇编指令!$C$2:$D$235,2,FALSE),"-1")</f>
        <v>-1</v>
      </c>
      <c r="F46" s="32" t="str">
        <f>_xlfn.IFNA(VLOOKUP($C46&amp;","&amp;F3,汇编指令!$C$2:$D$235,2,FALSE),"-1")</f>
        <v>-1</v>
      </c>
      <c r="G46" s="32" t="str">
        <f>_xlfn.IFNA(VLOOKUP($C46&amp;","&amp;G3,汇编指令!$C$2:$D$235,2,FALSE),"-1")</f>
        <v>-1</v>
      </c>
      <c r="H46" s="32" t="str">
        <f>_xlfn.IFNA(VLOOKUP($C46&amp;","&amp;H3,汇编指令!$C$2:$D$235,2,FALSE),"-1")</f>
        <v>-1</v>
      </c>
      <c r="I46" s="32" t="str">
        <f>_xlfn.IFNA(VLOOKUP($C46&amp;","&amp;I3,汇编指令!$C$2:$D$235,2,FALSE),"-1")</f>
        <v>-1</v>
      </c>
      <c r="J46" s="32" t="str">
        <f>_xlfn.IFNA(VLOOKUP($C46&amp;","&amp;J3,汇编指令!$C$2:$D$235,2,FALSE),"-1")</f>
        <v>-1</v>
      </c>
      <c r="K46" s="32" t="str">
        <f>_xlfn.IFNA(VLOOKUP($C46&amp;","&amp;K3,汇编指令!$C$2:$D$235,2,FALSE),"-1")</f>
        <v>-1</v>
      </c>
      <c r="L46" s="32" t="str">
        <f>_xlfn.IFNA(VLOOKUP($C46&amp;","&amp;L3,汇编指令!$C$2:$D$235,2,FALSE),"-1")</f>
        <v>-1</v>
      </c>
      <c r="M46" s="32" t="str">
        <f>_xlfn.IFNA(VLOOKUP($C46&amp;","&amp;M3,汇编指令!$C$2:$D$235,2,FALSE),"-1")</f>
        <v>-1</v>
      </c>
      <c r="N46" s="32" t="str">
        <f>_xlfn.IFNA(VLOOKUP($C46&amp;","&amp;N3,汇编指令!$C$2:$D$235,2,FALSE),"-1")</f>
        <v>-1</v>
      </c>
      <c r="O46" s="32" t="str">
        <f>_xlfn.IFNA(VLOOKUP($C46&amp;","&amp;O3,汇编指令!$C$2:$D$235,2,FALSE),"-1")</f>
        <v>-1</v>
      </c>
      <c r="P46" s="32" t="str">
        <f>_xlfn.IFNA(VLOOKUP($C46&amp;","&amp;P3,汇编指令!$C$2:$D$235,2,FALSE),"-1")</f>
        <v>-1</v>
      </c>
      <c r="Q46" s="32" t="str">
        <f>_xlfn.IFNA(VLOOKUP($C46&amp;","&amp;Q3,汇编指令!$C$2:$D$235,2,FALSE),"-1")</f>
        <v>-1</v>
      </c>
      <c r="R46" s="32" t="str">
        <f>_xlfn.IFNA(VLOOKUP($C46&amp;","&amp;R3,汇编指令!$C$2:$D$235,2,FALSE),"-1")</f>
        <v>-1</v>
      </c>
      <c r="S46" s="32" t="str">
        <f>_xlfn.IFNA(VLOOKUP($C46&amp;","&amp;S3,汇编指令!$C$2:$D$235,2,FALSE),"-1")</f>
        <v>-1</v>
      </c>
      <c r="T46" s="32" t="str">
        <f>_xlfn.IFNA(VLOOKUP($C46&amp;","&amp;T3,汇编指令!$C$2:$D$235,2,FALSE),"-1")</f>
        <v>-1</v>
      </c>
      <c r="U46" s="32" t="str">
        <f>_xlfn.IFNA(VLOOKUP($C46&amp;","&amp;U3,汇编指令!$C$2:$D$235,2,FALSE),"-1")</f>
        <v>-1</v>
      </c>
      <c r="V46" s="32" t="str">
        <f>_xlfn.IFNA(VLOOKUP($C46&amp;","&amp;V3,汇编指令!$C$2:$D$235,2,FALSE),"-1")</f>
        <v>-1</v>
      </c>
      <c r="W46" s="33" t="str">
        <f>_xlfn.IFNA(VLOOKUP($C46&amp;","&amp;W3,汇编指令!$C$2:$D$235,2,FALSE),"-1")</f>
        <v>2</v>
      </c>
      <c r="X46" s="32" t="str">
        <f>_xlfn.IFNA(VLOOKUP($C46&amp;","&amp;X3,汇编指令!$C$2:$D$235,2,FALSE),"-1")</f>
        <v>-1</v>
      </c>
      <c r="Y46" s="32" t="str">
        <f>_xlfn.IFNA(VLOOKUP($C46&amp;","&amp;Y3,汇编指令!$C$2:$D$235,2,FALSE),"-1")</f>
        <v>-1</v>
      </c>
      <c r="Z46" s="32" t="str">
        <f>_xlfn.IFNA(VLOOKUP($C46&amp;","&amp;Z3,汇编指令!$C$2:$D$235,2,FALSE),"-1")</f>
        <v>-1</v>
      </c>
      <c r="AA46" s="32" t="str">
        <f>_xlfn.IFNA(VLOOKUP($C46&amp;","&amp;AA3,汇编指令!$C$2:$D$235,2,FALSE),"-1")</f>
        <v>-1</v>
      </c>
      <c r="AB46" s="53" t="str">
        <f>_xlfn.IFNA(VLOOKUP($C46&amp;","&amp;AB3,汇编指令!$C$2:$D$235,2,FALSE),"-1")</f>
        <v>-1</v>
      </c>
    </row>
    <row r="47" ht="20" customHeight="1" spans="1:28">
      <c r="A47" s="16">
        <v>1</v>
      </c>
      <c r="B47" s="21">
        <f t="shared" si="8"/>
        <v>43</v>
      </c>
      <c r="C47" s="24" t="s">
        <v>962</v>
      </c>
      <c r="D47" s="23" t="str">
        <f t="shared" si="6"/>
        <v>2B</v>
      </c>
      <c r="E47" s="34" t="str">
        <f>_xlfn.IFNA(VLOOKUP($C47&amp;","&amp;E3,汇编指令!$C$2:$D$235,2,FALSE),"-1")</f>
        <v>-1</v>
      </c>
      <c r="F47" s="32" t="str">
        <f>_xlfn.IFNA(VLOOKUP($C47&amp;","&amp;F3,汇编指令!$C$2:$D$235,2,FALSE),"-1")</f>
        <v>-1</v>
      </c>
      <c r="G47" s="32" t="str">
        <f>_xlfn.IFNA(VLOOKUP($C47&amp;","&amp;G3,汇编指令!$C$2:$D$235,2,FALSE),"-1")</f>
        <v>-1</v>
      </c>
      <c r="H47" s="32" t="str">
        <f>_xlfn.IFNA(VLOOKUP($C47&amp;","&amp;H3,汇编指令!$C$2:$D$235,2,FALSE),"-1")</f>
        <v>-1</v>
      </c>
      <c r="I47" s="32" t="str">
        <f>_xlfn.IFNA(VLOOKUP($C47&amp;","&amp;I3,汇编指令!$C$2:$D$235,2,FALSE),"-1")</f>
        <v>-1</v>
      </c>
      <c r="J47" s="32" t="str">
        <f>_xlfn.IFNA(VLOOKUP($C47&amp;","&amp;J3,汇编指令!$C$2:$D$235,2,FALSE),"-1")</f>
        <v>-1</v>
      </c>
      <c r="K47" s="32" t="str">
        <f>_xlfn.IFNA(VLOOKUP($C47&amp;","&amp;K3,汇编指令!$C$2:$D$235,2,FALSE),"-1")</f>
        <v>-1</v>
      </c>
      <c r="L47" s="32" t="str">
        <f>_xlfn.IFNA(VLOOKUP($C47&amp;","&amp;L3,汇编指令!$C$2:$D$235,2,FALSE),"-1")</f>
        <v>-1</v>
      </c>
      <c r="M47" s="32" t="str">
        <f>_xlfn.IFNA(VLOOKUP($C47&amp;","&amp;M3,汇编指令!$C$2:$D$235,2,FALSE),"-1")</f>
        <v>-1</v>
      </c>
      <c r="N47" s="32" t="str">
        <f>_xlfn.IFNA(VLOOKUP($C47&amp;","&amp;N3,汇编指令!$C$2:$D$235,2,FALSE),"-1")</f>
        <v>-1</v>
      </c>
      <c r="O47" s="32" t="str">
        <f>_xlfn.IFNA(VLOOKUP($C47&amp;","&amp;O3,汇编指令!$C$2:$D$235,2,FALSE),"-1")</f>
        <v>-1</v>
      </c>
      <c r="P47" s="32" t="str">
        <f>_xlfn.IFNA(VLOOKUP($C47&amp;","&amp;P3,汇编指令!$C$2:$D$235,2,FALSE),"-1")</f>
        <v>-1</v>
      </c>
      <c r="Q47" s="32" t="str">
        <f>_xlfn.IFNA(VLOOKUP($C47&amp;","&amp;Q3,汇编指令!$C$2:$D$235,2,FALSE),"-1")</f>
        <v>-1</v>
      </c>
      <c r="R47" s="32" t="str">
        <f>_xlfn.IFNA(VLOOKUP($C47&amp;","&amp;R3,汇编指令!$C$2:$D$235,2,FALSE),"-1")</f>
        <v>-1</v>
      </c>
      <c r="S47" s="32" t="str">
        <f>_xlfn.IFNA(VLOOKUP($C47&amp;","&amp;S3,汇编指令!$C$2:$D$235,2,FALSE),"-1")</f>
        <v>-1</v>
      </c>
      <c r="T47" s="32" t="str">
        <f>_xlfn.IFNA(VLOOKUP($C47&amp;","&amp;T3,汇编指令!$C$2:$D$235,2,FALSE),"-1")</f>
        <v>-1</v>
      </c>
      <c r="U47" s="32" t="str">
        <f>_xlfn.IFNA(VLOOKUP($C47&amp;","&amp;U3,汇编指令!$C$2:$D$235,2,FALSE),"-1")</f>
        <v>-1</v>
      </c>
      <c r="V47" s="32" t="str">
        <f>_xlfn.IFNA(VLOOKUP($C47&amp;","&amp;V3,汇编指令!$C$2:$D$235,2,FALSE),"-1")</f>
        <v>-1</v>
      </c>
      <c r="W47" s="32" t="str">
        <f>_xlfn.IFNA(VLOOKUP($C47&amp;","&amp;W3,汇编指令!$C$2:$D$235,2,FALSE),"-1")</f>
        <v>-1</v>
      </c>
      <c r="X47" s="32" t="str">
        <f>_xlfn.IFNA(VLOOKUP($C47&amp;","&amp;X3,汇编指令!$C$2:$D$235,2,FALSE),"-1")</f>
        <v>-1</v>
      </c>
      <c r="Y47" s="32" t="str">
        <f>_xlfn.IFNA(VLOOKUP($C47&amp;","&amp;Y3,汇编指令!$C$2:$D$235,2,FALSE),"-1")</f>
        <v>-1</v>
      </c>
      <c r="Z47" s="32" t="str">
        <f>_xlfn.IFNA(VLOOKUP($C47&amp;","&amp;Z3,汇编指令!$C$2:$D$235,2,FALSE),"-1")</f>
        <v>-1</v>
      </c>
      <c r="AA47" s="33" t="str">
        <f>_xlfn.IFNA(VLOOKUP($C47&amp;","&amp;AA3,汇编指令!$C$2:$D$235,2,FALSE),"-1")</f>
        <v>A4</v>
      </c>
      <c r="AB47" s="54" t="str">
        <f>_xlfn.IFNA(VLOOKUP($C47&amp;","&amp;AB3,汇编指令!$C$2:$D$235,2,FALSE),"-1")</f>
        <v>-1</v>
      </c>
    </row>
    <row r="48" ht="20" customHeight="1" spans="1:28">
      <c r="A48" s="16">
        <v>1</v>
      </c>
      <c r="B48" s="21">
        <f t="shared" ref="B48:B57" si="9">ROW()-4</f>
        <v>44</v>
      </c>
      <c r="C48" s="24" t="s">
        <v>963</v>
      </c>
      <c r="D48" s="23" t="str">
        <f t="shared" si="6"/>
        <v>2C</v>
      </c>
      <c r="E48" s="34" t="str">
        <f>_xlfn.IFNA(VLOOKUP($C48&amp;","&amp;E3,汇编指令!$C$2:$D$235,2,FALSE),"-1")</f>
        <v>-1</v>
      </c>
      <c r="F48" s="32" t="str">
        <f>_xlfn.IFNA(VLOOKUP($C48&amp;","&amp;F3,汇编指令!$C$2:$D$235,2,FALSE),"-1")</f>
        <v>-1</v>
      </c>
      <c r="G48" s="32" t="str">
        <f>_xlfn.IFNA(VLOOKUP($C48&amp;","&amp;G3,汇编指令!$C$2:$D$235,2,FALSE),"-1")</f>
        <v>-1</v>
      </c>
      <c r="H48" s="32" t="str">
        <f>_xlfn.IFNA(VLOOKUP($C48&amp;","&amp;H3,汇编指令!$C$2:$D$235,2,FALSE),"-1")</f>
        <v>-1</v>
      </c>
      <c r="I48" s="32" t="str">
        <f>_xlfn.IFNA(VLOOKUP($C48&amp;","&amp;I3,汇编指令!$C$2:$D$235,2,FALSE),"-1")</f>
        <v>-1</v>
      </c>
      <c r="J48" s="32" t="str">
        <f>_xlfn.IFNA(VLOOKUP($C48&amp;","&amp;J3,汇编指令!$C$2:$D$235,2,FALSE),"-1")</f>
        <v>-1</v>
      </c>
      <c r="K48" s="32" t="str">
        <f>_xlfn.IFNA(VLOOKUP($C48&amp;","&amp;K3,汇编指令!$C$2:$D$235,2,FALSE),"-1")</f>
        <v>-1</v>
      </c>
      <c r="L48" s="32" t="str">
        <f>_xlfn.IFNA(VLOOKUP($C48&amp;","&amp;L3,汇编指令!$C$2:$D$235,2,FALSE),"-1")</f>
        <v>-1</v>
      </c>
      <c r="M48" s="32" t="str">
        <f>_xlfn.IFNA(VLOOKUP($C48&amp;","&amp;M3,汇编指令!$C$2:$D$235,2,FALSE),"-1")</f>
        <v>-1</v>
      </c>
      <c r="N48" s="32" t="str">
        <f>_xlfn.IFNA(VLOOKUP($C48&amp;","&amp;N3,汇编指令!$C$2:$D$235,2,FALSE),"-1")</f>
        <v>-1</v>
      </c>
      <c r="O48" s="33" t="str">
        <f>_xlfn.IFNA(VLOOKUP($C48&amp;","&amp;O3,汇编指令!$C$2:$D$235,2,FALSE),"-1")</f>
        <v>D0</v>
      </c>
      <c r="P48" s="32" t="str">
        <f>_xlfn.IFNA(VLOOKUP($C48&amp;","&amp;P3,汇编指令!$C$2:$D$235,2,FALSE),"-1")</f>
        <v>-1</v>
      </c>
      <c r="Q48" s="32" t="str">
        <f>_xlfn.IFNA(VLOOKUP($C48&amp;","&amp;Q3,汇编指令!$C$2:$D$235,2,FALSE),"-1")</f>
        <v>-1</v>
      </c>
      <c r="R48" s="32" t="str">
        <f>_xlfn.IFNA(VLOOKUP($C48&amp;","&amp;R3,汇编指令!$C$2:$D$235,2,FALSE),"-1")</f>
        <v>-1</v>
      </c>
      <c r="S48" s="32" t="str">
        <f>_xlfn.IFNA(VLOOKUP($C48&amp;","&amp;S3,汇编指令!$C$2:$D$235,2,FALSE),"-1")</f>
        <v>-1</v>
      </c>
      <c r="T48" s="32" t="str">
        <f>_xlfn.IFNA(VLOOKUP($C48&amp;","&amp;T3,汇编指令!$C$2:$D$235,2,FALSE),"-1")</f>
        <v>-1</v>
      </c>
      <c r="U48" s="32" t="str">
        <f>_xlfn.IFNA(VLOOKUP($C48&amp;","&amp;U3,汇编指令!$C$2:$D$235,2,FALSE),"-1")</f>
        <v>-1</v>
      </c>
      <c r="V48" s="32" t="str">
        <f>_xlfn.IFNA(VLOOKUP($C48&amp;","&amp;V3,汇编指令!$C$2:$D$235,2,FALSE),"-1")</f>
        <v>-1</v>
      </c>
      <c r="W48" s="32" t="str">
        <f>_xlfn.IFNA(VLOOKUP($C48&amp;","&amp;W3,汇编指令!$C$2:$D$235,2,FALSE),"-1")</f>
        <v>-1</v>
      </c>
      <c r="X48" s="32" t="str">
        <f>_xlfn.IFNA(VLOOKUP($C48&amp;","&amp;X3,汇编指令!$C$2:$D$235,2,FALSE),"-1")</f>
        <v>-1</v>
      </c>
      <c r="Y48" s="32" t="str">
        <f>_xlfn.IFNA(VLOOKUP($C48&amp;","&amp;Y3,汇编指令!$C$2:$D$235,2,FALSE),"-1")</f>
        <v>-1</v>
      </c>
      <c r="Z48" s="32" t="str">
        <f>_xlfn.IFNA(VLOOKUP($C48&amp;","&amp;Z3,汇编指令!$C$2:$D$235,2,FALSE),"-1")</f>
        <v>-1</v>
      </c>
      <c r="AA48" s="32" t="str">
        <f>_xlfn.IFNA(VLOOKUP($C48&amp;","&amp;AA3,汇编指令!$C$2:$D$235,2,FALSE),"-1")</f>
        <v>-1</v>
      </c>
      <c r="AB48" s="53" t="str">
        <f>_xlfn.IFNA(VLOOKUP($C48&amp;","&amp;AB3,汇编指令!$C$2:$D$235,2,FALSE),"-1")</f>
        <v>-1</v>
      </c>
    </row>
    <row r="49" ht="20" customHeight="1" spans="1:28">
      <c r="A49" s="16">
        <v>1</v>
      </c>
      <c r="B49" s="21">
        <f t="shared" si="9"/>
        <v>45</v>
      </c>
      <c r="C49" s="24" t="s">
        <v>964</v>
      </c>
      <c r="D49" s="23" t="str">
        <f t="shared" si="6"/>
        <v>2D</v>
      </c>
      <c r="E49" s="34" t="str">
        <f>_xlfn.IFNA(VLOOKUP($C49&amp;","&amp;E3,汇编指令!$C$2:$D$235,2,FALSE),"-1")</f>
        <v>-1</v>
      </c>
      <c r="F49" s="32" t="str">
        <f>_xlfn.IFNA(VLOOKUP($C49&amp;","&amp;F3,汇编指令!$C$2:$D$235,2,FALSE),"-1")</f>
        <v>-1</v>
      </c>
      <c r="G49" s="32" t="str">
        <f>_xlfn.IFNA(VLOOKUP($C49&amp;","&amp;G3,汇编指令!$C$2:$D$235,2,FALSE),"-1")</f>
        <v>-1</v>
      </c>
      <c r="H49" s="32" t="str">
        <f>_xlfn.IFNA(VLOOKUP($C49&amp;","&amp;H3,汇编指令!$C$2:$D$235,2,FALSE),"-1")</f>
        <v>-1</v>
      </c>
      <c r="I49" s="32" t="str">
        <f>_xlfn.IFNA(VLOOKUP($C49&amp;","&amp;I3,汇编指令!$C$2:$D$235,2,FALSE),"-1")</f>
        <v>-1</v>
      </c>
      <c r="J49" s="32" t="str">
        <f>_xlfn.IFNA(VLOOKUP($C49&amp;","&amp;J3,汇编指令!$C$2:$D$235,2,FALSE),"-1")</f>
        <v>-1</v>
      </c>
      <c r="K49" s="32" t="str">
        <f>_xlfn.IFNA(VLOOKUP($C49&amp;","&amp;K3,汇编指令!$C$2:$D$235,2,FALSE),"-1")</f>
        <v>-1</v>
      </c>
      <c r="L49" s="32" t="str">
        <f>_xlfn.IFNA(VLOOKUP($C49&amp;","&amp;L3,汇编指令!$C$2:$D$235,2,FALSE),"-1")</f>
        <v>-1</v>
      </c>
      <c r="M49" s="32" t="str">
        <f>_xlfn.IFNA(VLOOKUP($C49&amp;","&amp;M3,汇编指令!$C$2:$D$235,2,FALSE),"-1")</f>
        <v>-1</v>
      </c>
      <c r="N49" s="32" t="str">
        <f>_xlfn.IFNA(VLOOKUP($C49&amp;","&amp;N3,汇编指令!$C$2:$D$235,2,FALSE),"-1")</f>
        <v>-1</v>
      </c>
      <c r="O49" s="33" t="str">
        <f>_xlfn.IFNA(VLOOKUP($C49&amp;","&amp;O3,汇编指令!$C$2:$D$235,2,FALSE),"-1")</f>
        <v>C0</v>
      </c>
      <c r="P49" s="32" t="str">
        <f>_xlfn.IFNA(VLOOKUP($C49&amp;","&amp;P3,汇编指令!$C$2:$D$235,2,FALSE),"-1")</f>
        <v>-1</v>
      </c>
      <c r="Q49" s="32" t="str">
        <f>_xlfn.IFNA(VLOOKUP($C49&amp;","&amp;Q3,汇编指令!$C$2:$D$235,2,FALSE),"-1")</f>
        <v>-1</v>
      </c>
      <c r="R49" s="32" t="str">
        <f>_xlfn.IFNA(VLOOKUP($C49&amp;","&amp;R3,汇编指令!$C$2:$D$235,2,FALSE),"-1")</f>
        <v>-1</v>
      </c>
      <c r="S49" s="32" t="str">
        <f>_xlfn.IFNA(VLOOKUP($C49&amp;","&amp;S3,汇编指令!$C$2:$D$235,2,FALSE),"-1")</f>
        <v>-1</v>
      </c>
      <c r="T49" s="32" t="str">
        <f>_xlfn.IFNA(VLOOKUP($C49&amp;","&amp;T3,汇编指令!$C$2:$D$235,2,FALSE),"-1")</f>
        <v>-1</v>
      </c>
      <c r="U49" s="32" t="str">
        <f>_xlfn.IFNA(VLOOKUP($C49&amp;","&amp;U3,汇编指令!$C$2:$D$235,2,FALSE),"-1")</f>
        <v>-1</v>
      </c>
      <c r="V49" s="32" t="str">
        <f>_xlfn.IFNA(VLOOKUP($C49&amp;","&amp;V3,汇编指令!$C$2:$D$235,2,FALSE),"-1")</f>
        <v>-1</v>
      </c>
      <c r="W49" s="32" t="str">
        <f>_xlfn.IFNA(VLOOKUP($C49&amp;","&amp;W3,汇编指令!$C$2:$D$235,2,FALSE),"-1")</f>
        <v>-1</v>
      </c>
      <c r="X49" s="32" t="str">
        <f>_xlfn.IFNA(VLOOKUP($C49&amp;","&amp;X3,汇编指令!$C$2:$D$235,2,FALSE),"-1")</f>
        <v>-1</v>
      </c>
      <c r="Y49" s="32" t="str">
        <f>_xlfn.IFNA(VLOOKUP($C49&amp;","&amp;Y3,汇编指令!$C$2:$D$235,2,FALSE),"-1")</f>
        <v>-1</v>
      </c>
      <c r="Z49" s="32" t="str">
        <f>_xlfn.IFNA(VLOOKUP($C49&amp;","&amp;Z3,汇编指令!$C$2:$D$235,2,FALSE),"-1")</f>
        <v>-1</v>
      </c>
      <c r="AA49" s="32" t="str">
        <f>_xlfn.IFNA(VLOOKUP($C49&amp;","&amp;AA3,汇编指令!$C$2:$D$235,2,FALSE),"-1")</f>
        <v>-1</v>
      </c>
      <c r="AB49" s="53" t="str">
        <f>_xlfn.IFNA(VLOOKUP($C49&amp;","&amp;AB3,汇编指令!$C$2:$D$235,2,FALSE),"-1")</f>
        <v>-1</v>
      </c>
    </row>
    <row r="50" ht="20" customHeight="1" spans="1:28">
      <c r="A50" s="16">
        <v>1</v>
      </c>
      <c r="B50" s="21">
        <f t="shared" si="9"/>
        <v>46</v>
      </c>
      <c r="C50" s="24" t="s">
        <v>965</v>
      </c>
      <c r="D50" s="23" t="str">
        <f t="shared" si="6"/>
        <v>2E</v>
      </c>
      <c r="E50" s="31" t="str">
        <f>_xlfn.IFNA(VLOOKUP($C50&amp;","&amp;E3,汇编指令!$C$2:$D$235,2,FALSE),"-1")</f>
        <v>23</v>
      </c>
      <c r="F50" s="32" t="str">
        <f>_xlfn.IFNA(VLOOKUP($C50&amp;","&amp;F3,汇编指令!$C$2:$D$235,2,FALSE),"-1")</f>
        <v>-1</v>
      </c>
      <c r="G50" s="32" t="str">
        <f>_xlfn.IFNA(VLOOKUP($C50&amp;","&amp;G3,汇编指令!$C$2:$D$235,2,FALSE),"-1")</f>
        <v>-1</v>
      </c>
      <c r="H50" s="32" t="str">
        <f>_xlfn.IFNA(VLOOKUP($C50&amp;","&amp;H3,汇编指令!$C$2:$D$235,2,FALSE),"-1")</f>
        <v>-1</v>
      </c>
      <c r="I50" s="32" t="str">
        <f>_xlfn.IFNA(VLOOKUP($C50&amp;","&amp;I3,汇编指令!$C$2:$D$235,2,FALSE),"-1")</f>
        <v>-1</v>
      </c>
      <c r="J50" s="32" t="str">
        <f>_xlfn.IFNA(VLOOKUP($C50&amp;","&amp;J3,汇编指令!$C$2:$D$235,2,FALSE),"-1")</f>
        <v>-1</v>
      </c>
      <c r="K50" s="32" t="str">
        <f>_xlfn.IFNA(VLOOKUP($C50&amp;","&amp;K3,汇编指令!$C$2:$D$235,2,FALSE),"-1")</f>
        <v>-1</v>
      </c>
      <c r="L50" s="32" t="str">
        <f>_xlfn.IFNA(VLOOKUP($C50&amp;","&amp;L3,汇编指令!$C$2:$D$235,2,FALSE),"-1")</f>
        <v>-1</v>
      </c>
      <c r="M50" s="32" t="str">
        <f>_xlfn.IFNA(VLOOKUP($C50&amp;","&amp;M3,汇编指令!$C$2:$D$235,2,FALSE),"-1")</f>
        <v>-1</v>
      </c>
      <c r="N50" s="32" t="str">
        <f>_xlfn.IFNA(VLOOKUP($C50&amp;","&amp;N3,汇编指令!$C$2:$D$235,2,FALSE),"-1")</f>
        <v>-1</v>
      </c>
      <c r="O50" s="32" t="str">
        <f>_xlfn.IFNA(VLOOKUP($C50&amp;","&amp;O3,汇编指令!$C$2:$D$235,2,FALSE),"-1")</f>
        <v>-1</v>
      </c>
      <c r="P50" s="32" t="str">
        <f>_xlfn.IFNA(VLOOKUP($C50&amp;","&amp;P3,汇编指令!$C$2:$D$235,2,FALSE),"-1")</f>
        <v>-1</v>
      </c>
      <c r="Q50" s="32" t="str">
        <f>_xlfn.IFNA(VLOOKUP($C50&amp;","&amp;Q3,汇编指令!$C$2:$D$235,2,FALSE),"-1")</f>
        <v>-1</v>
      </c>
      <c r="R50" s="32" t="str">
        <f>_xlfn.IFNA(VLOOKUP($C50&amp;","&amp;R3,汇编指令!$C$2:$D$235,2,FALSE),"-1")</f>
        <v>-1</v>
      </c>
      <c r="S50" s="32" t="str">
        <f>_xlfn.IFNA(VLOOKUP($C50&amp;","&amp;S3,汇编指令!$C$2:$D$235,2,FALSE),"-1")</f>
        <v>-1</v>
      </c>
      <c r="T50" s="32" t="str">
        <f>_xlfn.IFNA(VLOOKUP($C50&amp;","&amp;T3,汇编指令!$C$2:$D$235,2,FALSE),"-1")</f>
        <v>-1</v>
      </c>
      <c r="U50" s="32" t="str">
        <f>_xlfn.IFNA(VLOOKUP($C50&amp;","&amp;U3,汇编指令!$C$2:$D$235,2,FALSE),"-1")</f>
        <v>-1</v>
      </c>
      <c r="V50" s="32" t="str">
        <f>_xlfn.IFNA(VLOOKUP($C50&amp;","&amp;V3,汇编指令!$C$2:$D$235,2,FALSE),"-1")</f>
        <v>-1</v>
      </c>
      <c r="W50" s="32" t="str">
        <f>_xlfn.IFNA(VLOOKUP($C50&amp;","&amp;W3,汇编指令!$C$2:$D$235,2,FALSE),"-1")</f>
        <v>-1</v>
      </c>
      <c r="X50" s="32" t="str">
        <f>_xlfn.IFNA(VLOOKUP($C50&amp;","&amp;X3,汇编指令!$C$2:$D$235,2,FALSE),"-1")</f>
        <v>-1</v>
      </c>
      <c r="Y50" s="32" t="str">
        <f>_xlfn.IFNA(VLOOKUP($C50&amp;","&amp;Y3,汇编指令!$C$2:$D$235,2,FALSE),"-1")</f>
        <v>-1</v>
      </c>
      <c r="Z50" s="32" t="str">
        <f>_xlfn.IFNA(VLOOKUP($C50&amp;","&amp;Z3,汇编指令!$C$2:$D$235,2,FALSE),"-1")</f>
        <v>-1</v>
      </c>
      <c r="AA50" s="32" t="str">
        <f>_xlfn.IFNA(VLOOKUP($C50&amp;","&amp;AA3,汇编指令!$C$2:$D$235,2,FALSE),"-1")</f>
        <v>-1</v>
      </c>
      <c r="AB50" s="53" t="str">
        <f>_xlfn.IFNA(VLOOKUP($C50&amp;","&amp;AB3,汇编指令!$C$2:$D$235,2,FALSE),"-1")</f>
        <v>-1</v>
      </c>
    </row>
    <row r="51" ht="20" customHeight="1" spans="1:28">
      <c r="A51" s="16">
        <v>1</v>
      </c>
      <c r="B51" s="21">
        <f t="shared" si="9"/>
        <v>47</v>
      </c>
      <c r="C51" s="24" t="s">
        <v>966</v>
      </c>
      <c r="D51" s="23" t="str">
        <f t="shared" si="6"/>
        <v>2F</v>
      </c>
      <c r="E51" s="31" t="str">
        <f>_xlfn.IFNA(VLOOKUP($C51&amp;","&amp;E3,汇编指令!$C$2:$D$235,2,FALSE),"-1")</f>
        <v>33</v>
      </c>
      <c r="F51" s="32" t="str">
        <f>_xlfn.IFNA(VLOOKUP($C51&amp;","&amp;F3,汇编指令!$C$2:$D$235,2,FALSE),"-1")</f>
        <v>-1</v>
      </c>
      <c r="G51" s="32" t="str">
        <f>_xlfn.IFNA(VLOOKUP($C51&amp;","&amp;G3,汇编指令!$C$2:$D$235,2,FALSE),"-1")</f>
        <v>-1</v>
      </c>
      <c r="H51" s="32" t="str">
        <f>_xlfn.IFNA(VLOOKUP($C51&amp;","&amp;H3,汇编指令!$C$2:$D$235,2,FALSE),"-1")</f>
        <v>-1</v>
      </c>
      <c r="I51" s="32" t="str">
        <f>_xlfn.IFNA(VLOOKUP($C51&amp;","&amp;I3,汇编指令!$C$2:$D$235,2,FALSE),"-1")</f>
        <v>-1</v>
      </c>
      <c r="J51" s="32" t="str">
        <f>_xlfn.IFNA(VLOOKUP($C51&amp;","&amp;J3,汇编指令!$C$2:$D$235,2,FALSE),"-1")</f>
        <v>-1</v>
      </c>
      <c r="K51" s="32" t="str">
        <f>_xlfn.IFNA(VLOOKUP($C51&amp;","&amp;K3,汇编指令!$C$2:$D$235,2,FALSE),"-1")</f>
        <v>-1</v>
      </c>
      <c r="L51" s="32" t="str">
        <f>_xlfn.IFNA(VLOOKUP($C51&amp;","&amp;L3,汇编指令!$C$2:$D$235,2,FALSE),"-1")</f>
        <v>-1</v>
      </c>
      <c r="M51" s="32" t="str">
        <f>_xlfn.IFNA(VLOOKUP($C51&amp;","&amp;M3,汇编指令!$C$2:$D$235,2,FALSE),"-1")</f>
        <v>-1</v>
      </c>
      <c r="N51" s="32" t="str">
        <f>_xlfn.IFNA(VLOOKUP($C51&amp;","&amp;N3,汇编指令!$C$2:$D$235,2,FALSE),"-1")</f>
        <v>-1</v>
      </c>
      <c r="O51" s="32" t="str">
        <f>_xlfn.IFNA(VLOOKUP($C51&amp;","&amp;O3,汇编指令!$C$2:$D$235,2,FALSE),"-1")</f>
        <v>-1</v>
      </c>
      <c r="P51" s="32" t="str">
        <f>_xlfn.IFNA(VLOOKUP($C51&amp;","&amp;P3,汇编指令!$C$2:$D$235,2,FALSE),"-1")</f>
        <v>-1</v>
      </c>
      <c r="Q51" s="32" t="str">
        <f>_xlfn.IFNA(VLOOKUP($C51&amp;","&amp;Q3,汇编指令!$C$2:$D$235,2,FALSE),"-1")</f>
        <v>-1</v>
      </c>
      <c r="R51" s="32" t="str">
        <f>_xlfn.IFNA(VLOOKUP($C51&amp;","&amp;R3,汇编指令!$C$2:$D$235,2,FALSE),"-1")</f>
        <v>-1</v>
      </c>
      <c r="S51" s="32" t="str">
        <f>_xlfn.IFNA(VLOOKUP($C51&amp;","&amp;S3,汇编指令!$C$2:$D$235,2,FALSE),"-1")</f>
        <v>-1</v>
      </c>
      <c r="T51" s="32" t="str">
        <f>_xlfn.IFNA(VLOOKUP($C51&amp;","&amp;T3,汇编指令!$C$2:$D$235,2,FALSE),"-1")</f>
        <v>-1</v>
      </c>
      <c r="U51" s="32" t="str">
        <f>_xlfn.IFNA(VLOOKUP($C51&amp;","&amp;U3,汇编指令!$C$2:$D$235,2,FALSE),"-1")</f>
        <v>-1</v>
      </c>
      <c r="V51" s="32" t="str">
        <f>_xlfn.IFNA(VLOOKUP($C51&amp;","&amp;V3,汇编指令!$C$2:$D$235,2,FALSE),"-1")</f>
        <v>-1</v>
      </c>
      <c r="W51" s="32" t="str">
        <f>_xlfn.IFNA(VLOOKUP($C51&amp;","&amp;W3,汇编指令!$C$2:$D$235,2,FALSE),"-1")</f>
        <v>-1</v>
      </c>
      <c r="X51" s="32" t="str">
        <f>_xlfn.IFNA(VLOOKUP($C51&amp;","&amp;X3,汇编指令!$C$2:$D$235,2,FALSE),"-1")</f>
        <v>-1</v>
      </c>
      <c r="Y51" s="32" t="str">
        <f>_xlfn.IFNA(VLOOKUP($C51&amp;","&amp;Y3,汇编指令!$C$2:$D$235,2,FALSE),"-1")</f>
        <v>-1</v>
      </c>
      <c r="Z51" s="32" t="str">
        <f>_xlfn.IFNA(VLOOKUP($C51&amp;","&amp;Z3,汇编指令!$C$2:$D$235,2,FALSE),"-1")</f>
        <v>-1</v>
      </c>
      <c r="AA51" s="32" t="str">
        <f>_xlfn.IFNA(VLOOKUP($C51&amp;","&amp;AA3,汇编指令!$C$2:$D$235,2,FALSE),"-1")</f>
        <v>-1</v>
      </c>
      <c r="AB51" s="53" t="str">
        <f>_xlfn.IFNA(VLOOKUP($C51&amp;","&amp;AB3,汇编指令!$C$2:$D$235,2,FALSE),"-1")</f>
        <v>-1</v>
      </c>
    </row>
    <row r="52" ht="20" customHeight="1" spans="1:28">
      <c r="A52" s="16">
        <v>1</v>
      </c>
      <c r="B52" s="21">
        <f t="shared" si="9"/>
        <v>48</v>
      </c>
      <c r="C52" s="24" t="s">
        <v>967</v>
      </c>
      <c r="D52" s="23" t="str">
        <f t="shared" si="6"/>
        <v>30</v>
      </c>
      <c r="E52" s="31" t="str">
        <f>_xlfn.IFNA(VLOOKUP($C52&amp;","&amp;E3,汇编指令!$C$2:$D$235,2,FALSE),"-1")</f>
        <v>3</v>
      </c>
      <c r="F52" s="32" t="str">
        <f>_xlfn.IFNA(VLOOKUP($C52&amp;","&amp;F3,汇编指令!$C$2:$D$235,2,FALSE),"-1")</f>
        <v>-1</v>
      </c>
      <c r="G52" s="32" t="str">
        <f>_xlfn.IFNA(VLOOKUP($C52&amp;","&amp;G3,汇编指令!$C$2:$D$235,2,FALSE),"-1")</f>
        <v>-1</v>
      </c>
      <c r="H52" s="32" t="str">
        <f>_xlfn.IFNA(VLOOKUP($C52&amp;","&amp;H3,汇编指令!$C$2:$D$235,2,FALSE),"-1")</f>
        <v>-1</v>
      </c>
      <c r="I52" s="32" t="str">
        <f>_xlfn.IFNA(VLOOKUP($C52&amp;","&amp;I3,汇编指令!$C$2:$D$235,2,FALSE),"-1")</f>
        <v>-1</v>
      </c>
      <c r="J52" s="32" t="str">
        <f>_xlfn.IFNA(VLOOKUP($C52&amp;","&amp;J3,汇编指令!$C$2:$D$235,2,FALSE),"-1")</f>
        <v>-1</v>
      </c>
      <c r="K52" s="32" t="str">
        <f>_xlfn.IFNA(VLOOKUP($C52&amp;","&amp;K3,汇编指令!$C$2:$D$235,2,FALSE),"-1")</f>
        <v>-1</v>
      </c>
      <c r="L52" s="32" t="str">
        <f>_xlfn.IFNA(VLOOKUP($C52&amp;","&amp;L3,汇编指令!$C$2:$D$235,2,FALSE),"-1")</f>
        <v>-1</v>
      </c>
      <c r="M52" s="32" t="str">
        <f>_xlfn.IFNA(VLOOKUP($C52&amp;","&amp;M3,汇编指令!$C$2:$D$235,2,FALSE),"-1")</f>
        <v>-1</v>
      </c>
      <c r="N52" s="32" t="str">
        <f>_xlfn.IFNA(VLOOKUP($C52&amp;","&amp;N3,汇编指令!$C$2:$D$235,2,FALSE),"-1")</f>
        <v>-1</v>
      </c>
      <c r="O52" s="32" t="str">
        <f>_xlfn.IFNA(VLOOKUP($C52&amp;","&amp;O3,汇编指令!$C$2:$D$235,2,FALSE),"-1")</f>
        <v>-1</v>
      </c>
      <c r="P52" s="32" t="str">
        <f>_xlfn.IFNA(VLOOKUP($C52&amp;","&amp;P3,汇编指令!$C$2:$D$235,2,FALSE),"-1")</f>
        <v>-1</v>
      </c>
      <c r="Q52" s="32" t="str">
        <f>_xlfn.IFNA(VLOOKUP($C52&amp;","&amp;Q3,汇编指令!$C$2:$D$235,2,FALSE),"-1")</f>
        <v>-1</v>
      </c>
      <c r="R52" s="32" t="str">
        <f>_xlfn.IFNA(VLOOKUP($C52&amp;","&amp;R3,汇编指令!$C$2:$D$235,2,FALSE),"-1")</f>
        <v>-1</v>
      </c>
      <c r="S52" s="32" t="str">
        <f>_xlfn.IFNA(VLOOKUP($C52&amp;","&amp;S3,汇编指令!$C$2:$D$235,2,FALSE),"-1")</f>
        <v>-1</v>
      </c>
      <c r="T52" s="32" t="str">
        <f>_xlfn.IFNA(VLOOKUP($C52&amp;","&amp;T3,汇编指令!$C$2:$D$235,2,FALSE),"-1")</f>
        <v>-1</v>
      </c>
      <c r="U52" s="32" t="str">
        <f>_xlfn.IFNA(VLOOKUP($C52&amp;","&amp;U3,汇编指令!$C$2:$D$235,2,FALSE),"-1")</f>
        <v>-1</v>
      </c>
      <c r="V52" s="32" t="str">
        <f>_xlfn.IFNA(VLOOKUP($C52&amp;","&amp;V3,汇编指令!$C$2:$D$235,2,FALSE),"-1")</f>
        <v>-1</v>
      </c>
      <c r="W52" s="32" t="str">
        <f>_xlfn.IFNA(VLOOKUP($C52&amp;","&amp;W3,汇编指令!$C$2:$D$235,2,FALSE),"-1")</f>
        <v>-1</v>
      </c>
      <c r="X52" s="32" t="str">
        <f>_xlfn.IFNA(VLOOKUP($C52&amp;","&amp;X3,汇编指令!$C$2:$D$235,2,FALSE),"-1")</f>
        <v>-1</v>
      </c>
      <c r="Y52" s="32" t="str">
        <f>_xlfn.IFNA(VLOOKUP($C52&amp;","&amp;Y3,汇编指令!$C$2:$D$235,2,FALSE),"-1")</f>
        <v>-1</v>
      </c>
      <c r="Z52" s="32" t="str">
        <f>_xlfn.IFNA(VLOOKUP($C52&amp;","&amp;Z3,汇编指令!$C$2:$D$235,2,FALSE),"-1")</f>
        <v>-1</v>
      </c>
      <c r="AA52" s="32" t="str">
        <f>_xlfn.IFNA(VLOOKUP($C52&amp;","&amp;AA3,汇编指令!$C$2:$D$235,2,FALSE),"-1")</f>
        <v>-1</v>
      </c>
      <c r="AB52" s="53" t="str">
        <f>_xlfn.IFNA(VLOOKUP($C52&amp;","&amp;AB3,汇编指令!$C$2:$D$235,2,FALSE),"-1")</f>
        <v>-1</v>
      </c>
    </row>
    <row r="53" ht="20" customHeight="1" spans="1:28">
      <c r="A53" s="16">
        <v>1</v>
      </c>
      <c r="B53" s="21">
        <f t="shared" si="9"/>
        <v>49</v>
      </c>
      <c r="C53" s="24" t="s">
        <v>968</v>
      </c>
      <c r="D53" s="23" t="str">
        <f t="shared" si="6"/>
        <v>31</v>
      </c>
      <c r="E53" s="31" t="str">
        <f>_xlfn.IFNA(VLOOKUP($C53&amp;","&amp;E3,汇编指令!$C$2:$D$235,2,FALSE),"-1")</f>
        <v>13</v>
      </c>
      <c r="F53" s="32" t="str">
        <f>_xlfn.IFNA(VLOOKUP($C53&amp;","&amp;F3,汇编指令!$C$2:$D$235,2,FALSE),"-1")</f>
        <v>-1</v>
      </c>
      <c r="G53" s="32" t="str">
        <f>_xlfn.IFNA(VLOOKUP($C53&amp;","&amp;G3,汇编指令!$C$2:$D$235,2,FALSE),"-1")</f>
        <v>-1</v>
      </c>
      <c r="H53" s="32" t="str">
        <f>_xlfn.IFNA(VLOOKUP($C53&amp;","&amp;H3,汇编指令!$C$2:$D$235,2,FALSE),"-1")</f>
        <v>-1</v>
      </c>
      <c r="I53" s="32" t="str">
        <f>_xlfn.IFNA(VLOOKUP($C53&amp;","&amp;I3,汇编指令!$C$2:$D$235,2,FALSE),"-1")</f>
        <v>-1</v>
      </c>
      <c r="J53" s="32" t="str">
        <f>_xlfn.IFNA(VLOOKUP($C53&amp;","&amp;J3,汇编指令!$C$2:$D$235,2,FALSE),"-1")</f>
        <v>-1</v>
      </c>
      <c r="K53" s="32" t="str">
        <f>_xlfn.IFNA(VLOOKUP($C53&amp;","&amp;K3,汇编指令!$C$2:$D$235,2,FALSE),"-1")</f>
        <v>-1</v>
      </c>
      <c r="L53" s="32" t="str">
        <f>_xlfn.IFNA(VLOOKUP($C53&amp;","&amp;L3,汇编指令!$C$2:$D$235,2,FALSE),"-1")</f>
        <v>-1</v>
      </c>
      <c r="M53" s="32" t="str">
        <f>_xlfn.IFNA(VLOOKUP($C53&amp;","&amp;M3,汇编指令!$C$2:$D$235,2,FALSE),"-1")</f>
        <v>-1</v>
      </c>
      <c r="N53" s="32" t="str">
        <f>_xlfn.IFNA(VLOOKUP($C53&amp;","&amp;N3,汇编指令!$C$2:$D$235,2,FALSE),"-1")</f>
        <v>-1</v>
      </c>
      <c r="O53" s="32" t="str">
        <f>_xlfn.IFNA(VLOOKUP($C53&amp;","&amp;O3,汇编指令!$C$2:$D$235,2,FALSE),"-1")</f>
        <v>-1</v>
      </c>
      <c r="P53" s="32" t="str">
        <f>_xlfn.IFNA(VLOOKUP($C53&amp;","&amp;P3,汇编指令!$C$2:$D$235,2,FALSE),"-1")</f>
        <v>-1</v>
      </c>
      <c r="Q53" s="32" t="str">
        <f>_xlfn.IFNA(VLOOKUP($C53&amp;","&amp;Q3,汇编指令!$C$2:$D$235,2,FALSE),"-1")</f>
        <v>-1</v>
      </c>
      <c r="R53" s="32" t="str">
        <f>_xlfn.IFNA(VLOOKUP($C53&amp;","&amp;R3,汇编指令!$C$2:$D$235,2,FALSE),"-1")</f>
        <v>-1</v>
      </c>
      <c r="S53" s="32" t="str">
        <f>_xlfn.IFNA(VLOOKUP($C53&amp;","&amp;S3,汇编指令!$C$2:$D$235,2,FALSE),"-1")</f>
        <v>-1</v>
      </c>
      <c r="T53" s="32" t="str">
        <f>_xlfn.IFNA(VLOOKUP($C53&amp;","&amp;T3,汇编指令!$C$2:$D$235,2,FALSE),"-1")</f>
        <v>-1</v>
      </c>
      <c r="U53" s="32" t="str">
        <f>_xlfn.IFNA(VLOOKUP($C53&amp;","&amp;U3,汇编指令!$C$2:$D$235,2,FALSE),"-1")</f>
        <v>-1</v>
      </c>
      <c r="V53" s="32" t="str">
        <f>_xlfn.IFNA(VLOOKUP($C53&amp;","&amp;V3,汇编指令!$C$2:$D$235,2,FALSE),"-1")</f>
        <v>-1</v>
      </c>
      <c r="W53" s="32" t="str">
        <f>_xlfn.IFNA(VLOOKUP($C53&amp;","&amp;W3,汇编指令!$C$2:$D$235,2,FALSE),"-1")</f>
        <v>-1</v>
      </c>
      <c r="X53" s="32" t="str">
        <f>_xlfn.IFNA(VLOOKUP($C53&amp;","&amp;X3,汇编指令!$C$2:$D$235,2,FALSE),"-1")</f>
        <v>-1</v>
      </c>
      <c r="Y53" s="32" t="str">
        <f>_xlfn.IFNA(VLOOKUP($C53&amp;","&amp;Y3,汇编指令!$C$2:$D$235,2,FALSE),"-1")</f>
        <v>-1</v>
      </c>
      <c r="Z53" s="32" t="str">
        <f>_xlfn.IFNA(VLOOKUP($C53&amp;","&amp;Z3,汇编指令!$C$2:$D$235,2,FALSE),"-1")</f>
        <v>-1</v>
      </c>
      <c r="AA53" s="32" t="str">
        <f>_xlfn.IFNA(VLOOKUP($C53&amp;","&amp;AA3,汇编指令!$C$2:$D$235,2,FALSE),"-1")</f>
        <v>-1</v>
      </c>
      <c r="AB53" s="53" t="str">
        <f>_xlfn.IFNA(VLOOKUP($C53&amp;","&amp;AB3,汇编指令!$C$2:$D$235,2,FALSE),"-1")</f>
        <v>-1</v>
      </c>
    </row>
    <row r="54" ht="20" customHeight="1" spans="1:28">
      <c r="A54" s="16">
        <v>1</v>
      </c>
      <c r="B54" s="21">
        <f t="shared" si="9"/>
        <v>50</v>
      </c>
      <c r="C54" s="24" t="s">
        <v>969</v>
      </c>
      <c r="D54" s="23" t="str">
        <f t="shared" si="6"/>
        <v>32</v>
      </c>
      <c r="E54" s="34" t="str">
        <f>_xlfn.IFNA(VLOOKUP($C54&amp;","&amp;E3,汇编指令!$C$2:$D$235,2,FALSE),"-1")</f>
        <v>-1</v>
      </c>
      <c r="F54" s="32" t="str">
        <f>_xlfn.IFNA(VLOOKUP($C54&amp;","&amp;F3,汇编指令!$C$2:$D$235,2,FALSE),"-1")</f>
        <v>-1</v>
      </c>
      <c r="G54" s="32" t="str">
        <f>_xlfn.IFNA(VLOOKUP($C54&amp;","&amp;G3,汇编指令!$C$2:$D$235,2,FALSE),"-1")</f>
        <v>-1</v>
      </c>
      <c r="H54" s="32" t="str">
        <f>_xlfn.IFNA(VLOOKUP($C54&amp;","&amp;H3,汇编指令!$C$2:$D$235,2,FALSE),"-1")</f>
        <v>-1</v>
      </c>
      <c r="I54" s="32" t="str">
        <f>_xlfn.IFNA(VLOOKUP($C54&amp;","&amp;I3,汇编指令!$C$2:$D$235,2,FALSE),"-1")</f>
        <v>-1</v>
      </c>
      <c r="J54" s="32" t="str">
        <f>_xlfn.IFNA(VLOOKUP($C54&amp;","&amp;J3,汇编指令!$C$2:$D$235,2,FALSE),"-1")</f>
        <v>-1</v>
      </c>
      <c r="K54" s="32" t="str">
        <f>_xlfn.IFNA(VLOOKUP($C54&amp;","&amp;K3,汇编指令!$C$2:$D$235,2,FALSE),"-1")</f>
        <v>-1</v>
      </c>
      <c r="L54" s="32" t="str">
        <f>_xlfn.IFNA(VLOOKUP($C54&amp;","&amp;L3,汇编指令!$C$2:$D$235,2,FALSE),"-1")</f>
        <v>-1</v>
      </c>
      <c r="M54" s="32" t="str">
        <f>_xlfn.IFNA(VLOOKUP($C54&amp;","&amp;M3,汇编指令!$C$2:$D$235,2,FALSE),"-1")</f>
        <v>-1</v>
      </c>
      <c r="N54" s="32" t="str">
        <f>_xlfn.IFNA(VLOOKUP($C54&amp;","&amp;N3,汇编指令!$C$2:$D$235,2,FALSE),"-1")</f>
        <v>-1</v>
      </c>
      <c r="O54" s="32" t="str">
        <f>_xlfn.IFNA(VLOOKUP($C54&amp;","&amp;O3,汇编指令!$C$2:$D$235,2,FALSE),"-1")</f>
        <v>-1</v>
      </c>
      <c r="P54" s="32" t="str">
        <f>_xlfn.IFNA(VLOOKUP($C54&amp;","&amp;P3,汇编指令!$C$2:$D$235,2,FALSE),"-1")</f>
        <v>-1</v>
      </c>
      <c r="Q54" s="32" t="str">
        <f>_xlfn.IFNA(VLOOKUP($C54&amp;","&amp;Q3,汇编指令!$C$2:$D$235,2,FALSE),"-1")</f>
        <v>-1</v>
      </c>
      <c r="R54" s="32" t="str">
        <f>_xlfn.IFNA(VLOOKUP($C54&amp;","&amp;R3,汇编指令!$C$2:$D$235,2,FALSE),"-1")</f>
        <v>-1</v>
      </c>
      <c r="S54" s="32" t="str">
        <f>_xlfn.IFNA(VLOOKUP($C54&amp;","&amp;S3,汇编指令!$C$2:$D$235,2,FALSE),"-1")</f>
        <v>-1</v>
      </c>
      <c r="T54" s="32" t="str">
        <f>_xlfn.IFNA(VLOOKUP($C54&amp;","&amp;T3,汇编指令!$C$2:$D$235,2,FALSE),"-1")</f>
        <v>-1</v>
      </c>
      <c r="U54" s="32" t="str">
        <f>_xlfn.IFNA(VLOOKUP($C54&amp;","&amp;U3,汇编指令!$C$2:$D$235,2,FALSE),"-1")</f>
        <v>-1</v>
      </c>
      <c r="V54" s="32" t="str">
        <f>_xlfn.IFNA(VLOOKUP($C54&amp;","&amp;V3,汇编指令!$C$2:$D$235,2,FALSE),"-1")</f>
        <v>-1</v>
      </c>
      <c r="W54" s="32" t="str">
        <f>_xlfn.IFNA(VLOOKUP($C54&amp;","&amp;W3,汇编指令!$C$2:$D$235,2,FALSE),"-1")</f>
        <v>-1</v>
      </c>
      <c r="X54" s="32" t="str">
        <f>_xlfn.IFNA(VLOOKUP($C54&amp;","&amp;X3,汇编指令!$C$2:$D$235,2,FALSE),"-1")</f>
        <v>-1</v>
      </c>
      <c r="Y54" s="33" t="str">
        <f>_xlfn.IFNA(VLOOKUP($C54&amp;","&amp;Y3,汇编指令!$C$2:$D$235,2,FALSE),"-1")</f>
        <v>D2</v>
      </c>
      <c r="Z54" s="33" t="str">
        <f>_xlfn.IFNA(VLOOKUP($C54&amp;","&amp;Z3,汇编指令!$C$2:$D$235,2,FALSE),"-1")</f>
        <v>D3</v>
      </c>
      <c r="AA54" s="32" t="str">
        <f>_xlfn.IFNA(VLOOKUP($C54&amp;","&amp;AA3,汇编指令!$C$2:$D$235,2,FALSE),"-1")</f>
        <v>-1</v>
      </c>
      <c r="AB54" s="53" t="str">
        <f>_xlfn.IFNA(VLOOKUP($C54&amp;","&amp;AB3,汇编指令!$C$2:$D$235,2,FALSE),"-1")</f>
        <v>-1</v>
      </c>
    </row>
    <row r="55" s="7" customFormat="1" ht="20" customHeight="1" spans="1:29">
      <c r="A55" s="16">
        <v>1</v>
      </c>
      <c r="B55" s="21">
        <f t="shared" si="9"/>
        <v>51</v>
      </c>
      <c r="C55" s="24" t="s">
        <v>970</v>
      </c>
      <c r="D55" s="23" t="str">
        <f t="shared" ref="D55:D86" si="10">DEC2HEX(B55)</f>
        <v>33</v>
      </c>
      <c r="E55" s="34" t="str">
        <f>_xlfn.IFNA(VLOOKUP($C55&amp;","&amp;E3,汇编指令!$C$2:$D$235,2,FALSE),"-1")</f>
        <v>-1</v>
      </c>
      <c r="F55" s="32" t="str">
        <f>_xlfn.IFNA(VLOOKUP($C55&amp;","&amp;F3,汇编指令!$C$2:$D$235,2,FALSE),"-1")</f>
        <v>-1</v>
      </c>
      <c r="G55" s="32" t="str">
        <f>_xlfn.IFNA(VLOOKUP($C55&amp;","&amp;G3,汇编指令!$C$2:$D$235,2,FALSE),"-1")</f>
        <v>-1</v>
      </c>
      <c r="H55" s="32" t="str">
        <f>_xlfn.IFNA(VLOOKUP($C55&amp;","&amp;H3,汇编指令!$C$2:$D$235,2,FALSE),"-1")</f>
        <v>-1</v>
      </c>
      <c r="I55" s="32" t="str">
        <f>_xlfn.IFNA(VLOOKUP($C55&amp;","&amp;I3,汇编指令!$C$2:$D$235,2,FALSE),"-1")</f>
        <v>-1</v>
      </c>
      <c r="J55" s="32" t="str">
        <f>_xlfn.IFNA(VLOOKUP($C55&amp;","&amp;J3,汇编指令!$C$2:$D$235,2,FALSE),"-1")</f>
        <v>-1</v>
      </c>
      <c r="K55" s="32" t="str">
        <f>_xlfn.IFNA(VLOOKUP($C55&amp;","&amp;K3,汇编指令!$C$2:$D$235,2,FALSE),"-1")</f>
        <v>-1</v>
      </c>
      <c r="L55" s="32" t="str">
        <f>_xlfn.IFNA(VLOOKUP($C55&amp;","&amp;L3,汇编指令!$C$2:$D$235,2,FALSE),"-1")</f>
        <v>-1</v>
      </c>
      <c r="M55" s="32" t="str">
        <f>_xlfn.IFNA(VLOOKUP($C55&amp;","&amp;M3,汇编指令!$C$2:$D$235,2,FALSE),"-1")</f>
        <v>-1</v>
      </c>
      <c r="N55" s="32" t="str">
        <f>_xlfn.IFNA(VLOOKUP($C55&amp;","&amp;N3,汇编指令!$C$2:$D$235,2,FALSE),"-1")</f>
        <v>-1</v>
      </c>
      <c r="O55" s="32" t="str">
        <f>_xlfn.IFNA(VLOOKUP($C55&amp;","&amp;O3,汇编指令!$C$2:$D$235,2,FALSE),"-1")</f>
        <v>-1</v>
      </c>
      <c r="P55" s="32" t="str">
        <f>_xlfn.IFNA(VLOOKUP($C55&amp;","&amp;P3,汇编指令!$C$2:$D$235,2,FALSE),"-1")</f>
        <v>-1</v>
      </c>
      <c r="Q55" s="32" t="str">
        <f>_xlfn.IFNA(VLOOKUP($C55&amp;","&amp;Q3,汇编指令!$C$2:$D$235,2,FALSE),"-1")</f>
        <v>-1</v>
      </c>
      <c r="R55" s="32" t="str">
        <f>_xlfn.IFNA(VLOOKUP($C55&amp;","&amp;R3,汇编指令!$C$2:$D$235,2,FALSE),"-1")</f>
        <v>-1</v>
      </c>
      <c r="S55" s="32" t="str">
        <f>_xlfn.IFNA(VLOOKUP($C55&amp;","&amp;S3,汇编指令!$C$2:$D$235,2,FALSE),"-1")</f>
        <v>-1</v>
      </c>
      <c r="T55" s="32" t="str">
        <f>_xlfn.IFNA(VLOOKUP($C55&amp;","&amp;T3,汇编指令!$C$2:$D$235,2,FALSE),"-1")</f>
        <v>-1</v>
      </c>
      <c r="U55" s="32" t="str">
        <f>_xlfn.IFNA(VLOOKUP($C55&amp;","&amp;U3,汇编指令!$C$2:$D$235,2,FALSE),"-1")</f>
        <v>-1</v>
      </c>
      <c r="V55" s="32" t="str">
        <f>_xlfn.IFNA(VLOOKUP($C55&amp;","&amp;V3,汇编指令!$C$2:$D$235,2,FALSE),"-1")</f>
        <v>-1</v>
      </c>
      <c r="W55" s="32" t="str">
        <f>_xlfn.IFNA(VLOOKUP($C55&amp;","&amp;W3,汇编指令!$C$2:$D$235,2,FALSE),"-1")</f>
        <v>-1</v>
      </c>
      <c r="X55" s="33" t="str">
        <f>_xlfn.IFNA(VLOOKUP($C55&amp;","&amp;X3,汇编指令!$C$2:$D$235,2,FALSE),"-1")</f>
        <v>80</v>
      </c>
      <c r="Y55" s="32" t="str">
        <f>_xlfn.IFNA(VLOOKUP($C55&amp;","&amp;Y3,汇编指令!$C$2:$D$235,2,FALSE),"-1")</f>
        <v>-1</v>
      </c>
      <c r="Z55" s="32" t="str">
        <f>_xlfn.IFNA(VLOOKUP($C55&amp;","&amp;Z3,汇编指令!$C$2:$D$235,2,FALSE),"-1")</f>
        <v>-1</v>
      </c>
      <c r="AA55" s="32" t="str">
        <f>_xlfn.IFNA(VLOOKUP($C55&amp;","&amp;AA3,汇编指令!$C$2:$D$235,2,FALSE),"-1")</f>
        <v>-1</v>
      </c>
      <c r="AB55" s="53" t="str">
        <f>_xlfn.IFNA(VLOOKUP($C55&amp;","&amp;AB3,汇编指令!$C$2:$D$235,2,FALSE),"-1")</f>
        <v>-1</v>
      </c>
      <c r="AC55" s="55"/>
    </row>
    <row r="56" s="7" customFormat="1" ht="20" customHeight="1" spans="1:29">
      <c r="A56" s="16">
        <v>1</v>
      </c>
      <c r="B56" s="21">
        <f t="shared" si="9"/>
        <v>52</v>
      </c>
      <c r="C56" s="24" t="s">
        <v>971</v>
      </c>
      <c r="D56" s="23" t="str">
        <f t="shared" si="10"/>
        <v>34</v>
      </c>
      <c r="E56" s="31" t="str">
        <f>_xlfn.IFNA(VLOOKUP($C56&amp;","&amp;E3,汇编指令!$C$2:$D$235,2,FALSE),"-1")</f>
        <v>C4</v>
      </c>
      <c r="F56" s="32" t="str">
        <f>_xlfn.IFNA(VLOOKUP($C56&amp;","&amp;F3,汇编指令!$C$2:$D$235,2,FALSE),"-1")</f>
        <v>-1</v>
      </c>
      <c r="G56" s="32" t="str">
        <f>_xlfn.IFNA(VLOOKUP($C56&amp;","&amp;G3,汇编指令!$C$2:$D$235,2,FALSE),"-1")</f>
        <v>-1</v>
      </c>
      <c r="H56" s="32" t="str">
        <f>_xlfn.IFNA(VLOOKUP($C56&amp;","&amp;H3,汇编指令!$C$2:$D$235,2,FALSE),"-1")</f>
        <v>-1</v>
      </c>
      <c r="I56" s="32" t="str">
        <f>_xlfn.IFNA(VLOOKUP($C56&amp;","&amp;I3,汇编指令!$C$2:$D$235,2,FALSE),"-1")</f>
        <v>-1</v>
      </c>
      <c r="J56" s="32" t="str">
        <f>_xlfn.IFNA(VLOOKUP($C56&amp;","&amp;J3,汇编指令!$C$2:$D$235,2,FALSE),"-1")</f>
        <v>-1</v>
      </c>
      <c r="K56" s="32" t="str">
        <f>_xlfn.IFNA(VLOOKUP($C56&amp;","&amp;K3,汇编指令!$C$2:$D$235,2,FALSE),"-1")</f>
        <v>-1</v>
      </c>
      <c r="L56" s="32" t="str">
        <f>_xlfn.IFNA(VLOOKUP($C56&amp;","&amp;L3,汇编指令!$C$2:$D$235,2,FALSE),"-1")</f>
        <v>-1</v>
      </c>
      <c r="M56" s="32" t="str">
        <f>_xlfn.IFNA(VLOOKUP($C56&amp;","&amp;M3,汇编指令!$C$2:$D$235,2,FALSE),"-1")</f>
        <v>-1</v>
      </c>
      <c r="N56" s="32" t="str">
        <f>_xlfn.IFNA(VLOOKUP($C56&amp;","&amp;N3,汇编指令!$C$2:$D$235,2,FALSE),"-1")</f>
        <v>-1</v>
      </c>
      <c r="O56" s="32" t="str">
        <f>_xlfn.IFNA(VLOOKUP($C56&amp;","&amp;O3,汇编指令!$C$2:$D$235,2,FALSE),"-1")</f>
        <v>-1</v>
      </c>
      <c r="P56" s="32" t="str">
        <f>_xlfn.IFNA(VLOOKUP($C56&amp;","&amp;P3,汇编指令!$C$2:$D$235,2,FALSE),"-1")</f>
        <v>-1</v>
      </c>
      <c r="Q56" s="32" t="str">
        <f>_xlfn.IFNA(VLOOKUP($C56&amp;","&amp;Q3,汇编指令!$C$2:$D$235,2,FALSE),"-1")</f>
        <v>-1</v>
      </c>
      <c r="R56" s="32" t="str">
        <f>_xlfn.IFNA(VLOOKUP($C56&amp;","&amp;R3,汇编指令!$C$2:$D$235,2,FALSE),"-1")</f>
        <v>-1</v>
      </c>
      <c r="S56" s="32" t="str">
        <f>_xlfn.IFNA(VLOOKUP($C56&amp;","&amp;S3,汇编指令!$C$2:$D$235,2,FALSE),"-1")</f>
        <v>-1</v>
      </c>
      <c r="T56" s="32" t="str">
        <f>_xlfn.IFNA(VLOOKUP($C56&amp;","&amp;T3,汇编指令!$C$2:$D$235,2,FALSE),"-1")</f>
        <v>-1</v>
      </c>
      <c r="U56" s="32" t="str">
        <f>_xlfn.IFNA(VLOOKUP($C56&amp;","&amp;U3,汇编指令!$C$2:$D$235,2,FALSE),"-1")</f>
        <v>-1</v>
      </c>
      <c r="V56" s="32" t="str">
        <f>_xlfn.IFNA(VLOOKUP($C56&amp;","&amp;V3,汇编指令!$C$2:$D$235,2,FALSE),"-1")</f>
        <v>-1</v>
      </c>
      <c r="W56" s="32" t="str">
        <f>_xlfn.IFNA(VLOOKUP($C56&amp;","&amp;W3,汇编指令!$C$2:$D$235,2,FALSE),"-1")</f>
        <v>-1</v>
      </c>
      <c r="X56" s="32" t="str">
        <f>_xlfn.IFNA(VLOOKUP($C56&amp;","&amp;X3,汇编指令!$C$2:$D$235,2,FALSE),"-1")</f>
        <v>-1</v>
      </c>
      <c r="Y56" s="32" t="str">
        <f>_xlfn.IFNA(VLOOKUP($C56&amp;","&amp;Y3,汇编指令!$C$2:$D$235,2,FALSE),"-1")</f>
        <v>-1</v>
      </c>
      <c r="Z56" s="32" t="str">
        <f>_xlfn.IFNA(VLOOKUP($C56&amp;","&amp;Z3,汇编指令!$C$2:$D$235,2,FALSE),"-1")</f>
        <v>-1</v>
      </c>
      <c r="AA56" s="32" t="str">
        <f>_xlfn.IFNA(VLOOKUP($C56&amp;","&amp;AA3,汇编指令!$C$2:$D$235,2,FALSE),"-1")</f>
        <v>-1</v>
      </c>
      <c r="AB56" s="53" t="str">
        <f>_xlfn.IFNA(VLOOKUP($C56&amp;","&amp;AB3,汇编指令!$C$2:$D$235,2,FALSE),"-1")</f>
        <v>-1</v>
      </c>
      <c r="AC56" s="55"/>
    </row>
    <row r="57" ht="20" customHeight="1" spans="1:28">
      <c r="A57" s="16">
        <v>2</v>
      </c>
      <c r="B57" s="21">
        <f t="shared" si="9"/>
        <v>53</v>
      </c>
      <c r="C57" s="24" t="s">
        <v>972</v>
      </c>
      <c r="D57" s="23" t="str">
        <f t="shared" si="10"/>
        <v>35</v>
      </c>
      <c r="E57" s="34" t="str">
        <f>_xlfn.IFNA(VLOOKUP($C57&amp;","&amp;E3,汇编指令!$C$2:$D$235,2,FALSE),"-1")</f>
        <v>-1</v>
      </c>
      <c r="F57" s="33" t="str">
        <f>_xlfn.IFNA(VLOOKUP($C57&amp;","&amp;F3,汇编指令!$C$2:$D$235,2,FALSE),"-1")</f>
        <v>28</v>
      </c>
      <c r="G57" s="33" t="str">
        <f>_xlfn.IFNA(VLOOKUP($C57&amp;","&amp;G3,汇编指令!$C$2:$D$235,2,FALSE),"-1")</f>
        <v>29</v>
      </c>
      <c r="H57" s="33" t="str">
        <f>_xlfn.IFNA(VLOOKUP($C57&amp;","&amp;H3,汇编指令!$C$2:$D$235,2,FALSE),"-1")</f>
        <v>2A</v>
      </c>
      <c r="I57" s="33" t="str">
        <f>_xlfn.IFNA(VLOOKUP($C57&amp;","&amp;I3,汇编指令!$C$2:$D$235,2,FALSE),"-1")</f>
        <v>2B</v>
      </c>
      <c r="J57" s="33" t="str">
        <f>_xlfn.IFNA(VLOOKUP($C57&amp;","&amp;J3,汇编指令!$C$2:$D$235,2,FALSE),"-1")</f>
        <v>2C</v>
      </c>
      <c r="K57" s="33" t="str">
        <f>_xlfn.IFNA(VLOOKUP($C57&amp;","&amp;K3,汇编指令!$C$2:$D$235,2,FALSE),"-1")</f>
        <v>2D</v>
      </c>
      <c r="L57" s="33" t="str">
        <f>_xlfn.IFNA(VLOOKUP($C57&amp;","&amp;L3,汇编指令!$C$2:$D$235,2,FALSE),"-1")</f>
        <v>2E</v>
      </c>
      <c r="M57" s="33" t="str">
        <f>_xlfn.IFNA(VLOOKUP($C57&amp;","&amp;M3,汇编指令!$C$2:$D$235,2,FALSE),"-1")</f>
        <v>2F</v>
      </c>
      <c r="N57" s="33" t="str">
        <f>_xlfn.IFNA(VLOOKUP($C57&amp;","&amp;N3,汇编指令!$C$2:$D$235,2,FALSE),"-1")</f>
        <v>24</v>
      </c>
      <c r="O57" s="33" t="str">
        <f>_xlfn.IFNA(VLOOKUP($C57&amp;","&amp;O3,汇编指令!$C$2:$D$235,2,FALSE),"-1")</f>
        <v>25</v>
      </c>
      <c r="P57" s="33" t="str">
        <f>_xlfn.IFNA(VLOOKUP($C57&amp;","&amp;P3,汇编指令!$C$2:$D$235,2,FALSE),"-1")</f>
        <v>26</v>
      </c>
      <c r="Q57" s="33" t="str">
        <f>_xlfn.IFNA(VLOOKUP($C57&amp;","&amp;Q3,汇编指令!$C$2:$D$235,2,FALSE),"-1")</f>
        <v>27</v>
      </c>
      <c r="R57" s="32" t="str">
        <f>_xlfn.IFNA(VLOOKUP($C57&amp;","&amp;R3,汇编指令!$C$2:$D$235,2,FALSE),"-1")</f>
        <v>-1</v>
      </c>
      <c r="S57" s="32" t="str">
        <f>_xlfn.IFNA(VLOOKUP($C57&amp;","&amp;S3,汇编指令!$C$2:$D$235,2,FALSE),"-1")</f>
        <v>-1</v>
      </c>
      <c r="T57" s="32" t="str">
        <f>_xlfn.IFNA(VLOOKUP($C57&amp;","&amp;T3,汇编指令!$C$2:$D$235,2,FALSE),"-1")</f>
        <v>-1</v>
      </c>
      <c r="U57" s="32" t="str">
        <f>_xlfn.IFNA(VLOOKUP($C57&amp;","&amp;U3,汇编指令!$C$2:$D$235,2,FALSE),"-1")</f>
        <v>-1</v>
      </c>
      <c r="V57" s="32" t="str">
        <f>_xlfn.IFNA(VLOOKUP($C57&amp;","&amp;V3,汇编指令!$C$2:$D$235,2,FALSE),"-1")</f>
        <v>-1</v>
      </c>
      <c r="W57" s="32" t="str">
        <f>_xlfn.IFNA(VLOOKUP($C57&amp;","&amp;W3,汇编指令!$C$2:$D$235,2,FALSE),"-1")</f>
        <v>-1</v>
      </c>
      <c r="X57" s="32" t="str">
        <f>_xlfn.IFNA(VLOOKUP($C57&amp;","&amp;X3,汇编指令!$C$2:$D$235,2,FALSE),"-1")</f>
        <v>-1</v>
      </c>
      <c r="Y57" s="32" t="str">
        <f>_xlfn.IFNA(VLOOKUP($C57&amp;","&amp;Y3,汇编指令!$C$2:$D$235,2,FALSE),"-1")</f>
        <v>-1</v>
      </c>
      <c r="Z57" s="32" t="str">
        <f>_xlfn.IFNA(VLOOKUP($C57&amp;","&amp;Z3,汇编指令!$C$2:$D$235,2,FALSE),"-1")</f>
        <v>-1</v>
      </c>
      <c r="AA57" s="32" t="str">
        <f>_xlfn.IFNA(VLOOKUP($C57&amp;","&amp;AA3,汇编指令!$C$2:$D$235,2,FALSE),"-1")</f>
        <v>-1</v>
      </c>
      <c r="AB57" s="53" t="str">
        <f>_xlfn.IFNA(VLOOKUP($C57&amp;","&amp;AB3,汇编指令!$C$2:$D$235,2,FALSE),"-1")</f>
        <v>-1</v>
      </c>
    </row>
    <row r="58" s="7" customFormat="1" ht="20" customHeight="1" spans="1:29">
      <c r="A58" s="16">
        <v>2</v>
      </c>
      <c r="B58" s="21">
        <f t="shared" ref="B58:B67" si="11">ROW()-4</f>
        <v>54</v>
      </c>
      <c r="C58" s="24" t="s">
        <v>973</v>
      </c>
      <c r="D58" s="23" t="str">
        <f t="shared" si="10"/>
        <v>36</v>
      </c>
      <c r="E58" s="34" t="str">
        <f>_xlfn.IFNA(VLOOKUP($C58&amp;","&amp;E3,汇编指令!$C$2:$D$235,2,FALSE),"-1")</f>
        <v>-1</v>
      </c>
      <c r="F58" s="33" t="str">
        <f>_xlfn.IFNA(VLOOKUP($C58&amp;","&amp;F3,汇编指令!$C$2:$D$235,2,FALSE),"-1")</f>
        <v>38</v>
      </c>
      <c r="G58" s="33" t="str">
        <f>_xlfn.IFNA(VLOOKUP($C58&amp;","&amp;G3,汇编指令!$C$2:$D$235,2,FALSE),"-1")</f>
        <v>39</v>
      </c>
      <c r="H58" s="33" t="str">
        <f>_xlfn.IFNA(VLOOKUP($C58&amp;","&amp;H3,汇编指令!$C$2:$D$235,2,FALSE),"-1")</f>
        <v>3A</v>
      </c>
      <c r="I58" s="33" t="str">
        <f>_xlfn.IFNA(VLOOKUP($C58&amp;","&amp;I3,汇编指令!$C$2:$D$235,2,FALSE),"-1")</f>
        <v>3B</v>
      </c>
      <c r="J58" s="33" t="str">
        <f>_xlfn.IFNA(VLOOKUP($C58&amp;","&amp;J3,汇编指令!$C$2:$D$235,2,FALSE),"-1")</f>
        <v>3C</v>
      </c>
      <c r="K58" s="33" t="str">
        <f>_xlfn.IFNA(VLOOKUP($C58&amp;","&amp;K3,汇编指令!$C$2:$D$235,2,FALSE),"-1")</f>
        <v>3D</v>
      </c>
      <c r="L58" s="33" t="str">
        <f>_xlfn.IFNA(VLOOKUP($C58&amp;","&amp;L3,汇编指令!$C$2:$D$235,2,FALSE),"-1")</f>
        <v>3E</v>
      </c>
      <c r="M58" s="33" t="str">
        <f>_xlfn.IFNA(VLOOKUP($C58&amp;","&amp;M3,汇编指令!$C$2:$D$235,2,FALSE),"-1")</f>
        <v>3F</v>
      </c>
      <c r="N58" s="33" t="str">
        <f>_xlfn.IFNA(VLOOKUP($C58&amp;","&amp;N3,汇编指令!$C$2:$D$235,2,FALSE),"-1")</f>
        <v>34</v>
      </c>
      <c r="O58" s="33" t="str">
        <f>_xlfn.IFNA(VLOOKUP($C58&amp;","&amp;O3,汇编指令!$C$2:$D$235,2,FALSE),"-1")</f>
        <v>35</v>
      </c>
      <c r="P58" s="33" t="str">
        <f>_xlfn.IFNA(VLOOKUP($C58&amp;","&amp;P3,汇编指令!$C$2:$D$235,2,FALSE),"-1")</f>
        <v>36</v>
      </c>
      <c r="Q58" s="33" t="str">
        <f>_xlfn.IFNA(VLOOKUP($C58&amp;","&amp;Q3,汇编指令!$C$2:$D$235,2,FALSE),"-1")</f>
        <v>37</v>
      </c>
      <c r="R58" s="32" t="str">
        <f>_xlfn.IFNA(VLOOKUP($C58&amp;","&amp;R3,汇编指令!$C$2:$D$235,2,FALSE),"-1")</f>
        <v>-1</v>
      </c>
      <c r="S58" s="32" t="str">
        <f>_xlfn.IFNA(VLOOKUP($C58&amp;","&amp;S3,汇编指令!$C$2:$D$235,2,FALSE),"-1")</f>
        <v>-1</v>
      </c>
      <c r="T58" s="32" t="str">
        <f>_xlfn.IFNA(VLOOKUP($C58&amp;","&amp;T3,汇编指令!$C$2:$D$235,2,FALSE),"-1")</f>
        <v>-1</v>
      </c>
      <c r="U58" s="32" t="str">
        <f>_xlfn.IFNA(VLOOKUP($C58&amp;","&amp;U3,汇编指令!$C$2:$D$235,2,FALSE),"-1")</f>
        <v>-1</v>
      </c>
      <c r="V58" s="32" t="str">
        <f>_xlfn.IFNA(VLOOKUP($C58&amp;","&amp;V3,汇编指令!$C$2:$D$235,2,FALSE),"-1")</f>
        <v>-1</v>
      </c>
      <c r="W58" s="32" t="str">
        <f>_xlfn.IFNA(VLOOKUP($C58&amp;","&amp;W3,汇编指令!$C$2:$D$235,2,FALSE),"-1")</f>
        <v>-1</v>
      </c>
      <c r="X58" s="32" t="str">
        <f>_xlfn.IFNA(VLOOKUP($C58&amp;","&amp;X3,汇编指令!$C$2:$D$235,2,FALSE),"-1")</f>
        <v>-1</v>
      </c>
      <c r="Y58" s="32" t="str">
        <f>_xlfn.IFNA(VLOOKUP($C58&amp;","&amp;Y3,汇编指令!$C$2:$D$235,2,FALSE),"-1")</f>
        <v>-1</v>
      </c>
      <c r="Z58" s="32" t="str">
        <f>_xlfn.IFNA(VLOOKUP($C58&amp;","&amp;Z3,汇编指令!$C$2:$D$235,2,FALSE),"-1")</f>
        <v>-1</v>
      </c>
      <c r="AA58" s="32" t="str">
        <f>_xlfn.IFNA(VLOOKUP($C58&amp;","&amp;AA3,汇编指令!$C$2:$D$235,2,FALSE),"-1")</f>
        <v>-1</v>
      </c>
      <c r="AB58" s="53" t="str">
        <f>_xlfn.IFNA(VLOOKUP($C58&amp;","&amp;AB3,汇编指令!$C$2:$D$235,2,FALSE),"-1")</f>
        <v>-1</v>
      </c>
      <c r="AC58" s="55"/>
    </row>
    <row r="59" ht="20" customHeight="1" spans="1:28">
      <c r="A59" s="16">
        <v>2</v>
      </c>
      <c r="B59" s="21">
        <f t="shared" si="11"/>
        <v>55</v>
      </c>
      <c r="C59" s="24" t="s">
        <v>974</v>
      </c>
      <c r="D59" s="23" t="str">
        <f t="shared" si="10"/>
        <v>37</v>
      </c>
      <c r="E59" s="34" t="str">
        <f>_xlfn.IFNA(VLOOKUP($C59&amp;","&amp;E3,汇编指令!$C$2:$D$235,2,FALSE),"-1")</f>
        <v>-1</v>
      </c>
      <c r="F59" s="33" t="str">
        <f>_xlfn.IFNA(VLOOKUP($C59&amp;","&amp;F3,汇编指令!$C$2:$D$235,2,FALSE),"-1")</f>
        <v>58</v>
      </c>
      <c r="G59" s="33" t="str">
        <f>_xlfn.IFNA(VLOOKUP($C59&amp;","&amp;G3,汇编指令!$C$2:$D$235,2,FALSE),"-1")</f>
        <v>59</v>
      </c>
      <c r="H59" s="33" t="str">
        <f>_xlfn.IFNA(VLOOKUP($C59&amp;","&amp;H3,汇编指令!$C$2:$D$235,2,FALSE),"-1")</f>
        <v>5A</v>
      </c>
      <c r="I59" s="33" t="str">
        <f>_xlfn.IFNA(VLOOKUP($C59&amp;","&amp;I3,汇编指令!$C$2:$D$235,2,FALSE),"-1")</f>
        <v>5B</v>
      </c>
      <c r="J59" s="33" t="str">
        <f>_xlfn.IFNA(VLOOKUP($C59&amp;","&amp;J3,汇编指令!$C$2:$D$235,2,FALSE),"-1")</f>
        <v>5C</v>
      </c>
      <c r="K59" s="33" t="str">
        <f>_xlfn.IFNA(VLOOKUP($C59&amp;","&amp;K3,汇编指令!$C$2:$D$235,2,FALSE),"-1")</f>
        <v>5D</v>
      </c>
      <c r="L59" s="33" t="str">
        <f>_xlfn.IFNA(VLOOKUP($C59&amp;","&amp;L3,汇编指令!$C$2:$D$235,2,FALSE),"-1")</f>
        <v>5E</v>
      </c>
      <c r="M59" s="33" t="str">
        <f>_xlfn.IFNA(VLOOKUP($C59&amp;","&amp;M3,汇编指令!$C$2:$D$235,2,FALSE),"-1")</f>
        <v>5F</v>
      </c>
      <c r="N59" s="33" t="str">
        <f>_xlfn.IFNA(VLOOKUP($C59&amp;","&amp;N3,汇编指令!$C$2:$D$235,2,FALSE),"-1")</f>
        <v>54</v>
      </c>
      <c r="O59" s="33" t="str">
        <f>_xlfn.IFNA(VLOOKUP($C59&amp;","&amp;O3,汇编指令!$C$2:$D$235,2,FALSE),"-1")</f>
        <v>55</v>
      </c>
      <c r="P59" s="33" t="str">
        <f>_xlfn.IFNA(VLOOKUP($C59&amp;","&amp;P3,汇编指令!$C$2:$D$235,2,FALSE),"-1")</f>
        <v>56</v>
      </c>
      <c r="Q59" s="33" t="str">
        <f>_xlfn.IFNA(VLOOKUP($C59&amp;","&amp;Q3,汇编指令!$C$2:$D$235,2,FALSE),"-1")</f>
        <v>57</v>
      </c>
      <c r="R59" s="32" t="str">
        <f>_xlfn.IFNA(VLOOKUP($C59&amp;","&amp;R3,汇编指令!$C$2:$D$235,2,FALSE),"-1")</f>
        <v>-1</v>
      </c>
      <c r="S59" s="32" t="str">
        <f>_xlfn.IFNA(VLOOKUP($C59&amp;","&amp;S3,汇编指令!$C$2:$D$235,2,FALSE),"-1")</f>
        <v>-1</v>
      </c>
      <c r="T59" s="32" t="str">
        <f>_xlfn.IFNA(VLOOKUP($C59&amp;","&amp;T3,汇编指令!$C$2:$D$235,2,FALSE),"-1")</f>
        <v>-1</v>
      </c>
      <c r="U59" s="32" t="str">
        <f>_xlfn.IFNA(VLOOKUP($C59&amp;","&amp;U3,汇编指令!$C$2:$D$235,2,FALSE),"-1")</f>
        <v>-1</v>
      </c>
      <c r="V59" s="32" t="str">
        <f>_xlfn.IFNA(VLOOKUP($C59&amp;","&amp;V3,汇编指令!$C$2:$D$235,2,FALSE),"-1")</f>
        <v>-1</v>
      </c>
      <c r="W59" s="32" t="str">
        <f>_xlfn.IFNA(VLOOKUP($C59&amp;","&amp;W3,汇编指令!$C$2:$D$235,2,FALSE),"-1")</f>
        <v>-1</v>
      </c>
      <c r="X59" s="32" t="str">
        <f>_xlfn.IFNA(VLOOKUP($C59&amp;","&amp;X3,汇编指令!$C$2:$D$235,2,FALSE),"-1")</f>
        <v>-1</v>
      </c>
      <c r="Y59" s="32" t="str">
        <f>_xlfn.IFNA(VLOOKUP($C59&amp;","&amp;Y3,汇编指令!$C$2:$D$235,2,FALSE),"-1")</f>
        <v>-1</v>
      </c>
      <c r="Z59" s="32" t="str">
        <f>_xlfn.IFNA(VLOOKUP($C59&amp;","&amp;Z3,汇编指令!$C$2:$D$235,2,FALSE),"-1")</f>
        <v>-1</v>
      </c>
      <c r="AA59" s="32" t="str">
        <f>_xlfn.IFNA(VLOOKUP($C59&amp;","&amp;AA3,汇编指令!$C$2:$D$235,2,FALSE),"-1")</f>
        <v>-1</v>
      </c>
      <c r="AB59" s="53" t="str">
        <f>_xlfn.IFNA(VLOOKUP($C59&amp;","&amp;AB3,汇编指令!$C$2:$D$235,2,FALSE),"-1")</f>
        <v>-1</v>
      </c>
    </row>
    <row r="60" ht="20" customHeight="1" spans="1:28">
      <c r="A60" s="16">
        <v>2</v>
      </c>
      <c r="B60" s="21">
        <f t="shared" si="11"/>
        <v>56</v>
      </c>
      <c r="C60" s="24" t="s">
        <v>975</v>
      </c>
      <c r="D60" s="23" t="str">
        <f t="shared" si="10"/>
        <v>38</v>
      </c>
      <c r="E60" s="34" t="str">
        <f>_xlfn.IFNA(VLOOKUP($C60&amp;","&amp;E3,汇编指令!$C$2:$D$235,2,FALSE),"-1")</f>
        <v>-1</v>
      </c>
      <c r="F60" s="32" t="str">
        <f>_xlfn.IFNA(VLOOKUP($C60&amp;","&amp;F3,汇编指令!$C$2:$D$235,2,FALSE),"-1")</f>
        <v>-1</v>
      </c>
      <c r="G60" s="32" t="str">
        <f>_xlfn.IFNA(VLOOKUP($C60&amp;","&amp;G3,汇编指令!$C$2:$D$235,2,FALSE),"-1")</f>
        <v>-1</v>
      </c>
      <c r="H60" s="32" t="str">
        <f>_xlfn.IFNA(VLOOKUP($C60&amp;","&amp;H3,汇编指令!$C$2:$D$235,2,FALSE),"-1")</f>
        <v>-1</v>
      </c>
      <c r="I60" s="32" t="str">
        <f>_xlfn.IFNA(VLOOKUP($C60&amp;","&amp;I3,汇编指令!$C$2:$D$235,2,FALSE),"-1")</f>
        <v>-1</v>
      </c>
      <c r="J60" s="32" t="str">
        <f>_xlfn.IFNA(VLOOKUP($C60&amp;","&amp;J3,汇编指令!$C$2:$D$235,2,FALSE),"-1")</f>
        <v>-1</v>
      </c>
      <c r="K60" s="32" t="str">
        <f>_xlfn.IFNA(VLOOKUP($C60&amp;","&amp;K3,汇编指令!$C$2:$D$235,2,FALSE),"-1")</f>
        <v>-1</v>
      </c>
      <c r="L60" s="32" t="str">
        <f>_xlfn.IFNA(VLOOKUP($C60&amp;","&amp;L3,汇编指令!$C$2:$D$235,2,FALSE),"-1")</f>
        <v>-1</v>
      </c>
      <c r="M60" s="32" t="str">
        <f>_xlfn.IFNA(VLOOKUP($C60&amp;","&amp;M3,汇编指令!$C$2:$D$235,2,FALSE),"-1")</f>
        <v>-1</v>
      </c>
      <c r="N60" s="32" t="str">
        <f>_xlfn.IFNA(VLOOKUP($C60&amp;","&amp;N3,汇编指令!$C$2:$D$235,2,FALSE),"-1")</f>
        <v>-1</v>
      </c>
      <c r="O60" s="32" t="str">
        <f>_xlfn.IFNA(VLOOKUP($C60&amp;","&amp;O3,汇编指令!$C$2:$D$235,2,FALSE),"-1")</f>
        <v>-1</v>
      </c>
      <c r="P60" s="32" t="str">
        <f>_xlfn.IFNA(VLOOKUP($C60&amp;","&amp;P3,汇编指令!$C$2:$D$235,2,FALSE),"-1")</f>
        <v>-1</v>
      </c>
      <c r="Q60" s="32" t="str">
        <f>_xlfn.IFNA(VLOOKUP($C60&amp;","&amp;Q3,汇编指令!$C$2:$D$235,2,FALSE),"-1")</f>
        <v>-1</v>
      </c>
      <c r="R60" s="32" t="str">
        <f>_xlfn.IFNA(VLOOKUP($C60&amp;","&amp;R3,汇编指令!$C$2:$D$235,2,FALSE),"-1")</f>
        <v>-1</v>
      </c>
      <c r="S60" s="32" t="str">
        <f>_xlfn.IFNA(VLOOKUP($C60&amp;","&amp;S3,汇编指令!$C$2:$D$235,2,FALSE),"-1")</f>
        <v>-1</v>
      </c>
      <c r="T60" s="32" t="str">
        <f>_xlfn.IFNA(VLOOKUP($C60&amp;","&amp;T3,汇编指令!$C$2:$D$235,2,FALSE),"-1")</f>
        <v>-1</v>
      </c>
      <c r="U60" s="32" t="str">
        <f>_xlfn.IFNA(VLOOKUP($C60&amp;","&amp;U3,汇编指令!$C$2:$D$235,2,FALSE),"-1")</f>
        <v>-1</v>
      </c>
      <c r="V60" s="32" t="str">
        <f>_xlfn.IFNA(VLOOKUP($C60&amp;","&amp;V3,汇编指令!$C$2:$D$235,2,FALSE),"-1")</f>
        <v>-1</v>
      </c>
      <c r="W60" s="32" t="str">
        <f>_xlfn.IFNA(VLOOKUP($C60&amp;","&amp;W3,汇编指令!$C$2:$D$235,2,FALSE),"-1")</f>
        <v>-1</v>
      </c>
      <c r="X60" s="32" t="str">
        <f>_xlfn.IFNA(VLOOKUP($C60&amp;","&amp;X3,汇编指令!$C$2:$D$235,2,FALSE),"-1")</f>
        <v>-1</v>
      </c>
      <c r="Y60" s="33" t="str">
        <f>_xlfn.IFNA(VLOOKUP($C60&amp;","&amp;Y3,汇编指令!$C$2:$D$235,2,FALSE),"-1")</f>
        <v>82</v>
      </c>
      <c r="Z60" s="32" t="str">
        <f>_xlfn.IFNA(VLOOKUP($C60&amp;","&amp;Z3,汇编指令!$C$2:$D$235,2,FALSE),"-1")</f>
        <v>-1</v>
      </c>
      <c r="AA60" s="32" t="str">
        <f>_xlfn.IFNA(VLOOKUP($C60&amp;","&amp;AA3,汇编指令!$C$2:$D$235,2,FALSE),"-1")</f>
        <v>-1</v>
      </c>
      <c r="AB60" s="54" t="str">
        <f>_xlfn.IFNA(VLOOKUP($C60&amp;","&amp;AB3,汇编指令!$C$2:$D$235,2,FALSE),"-1")</f>
        <v>B0</v>
      </c>
    </row>
    <row r="61" ht="20" customHeight="1" spans="1:28">
      <c r="A61" s="16">
        <v>2</v>
      </c>
      <c r="B61" s="21">
        <f t="shared" si="11"/>
        <v>57</v>
      </c>
      <c r="C61" s="24" t="s">
        <v>976</v>
      </c>
      <c r="D61" s="23" t="str">
        <f t="shared" si="10"/>
        <v>39</v>
      </c>
      <c r="E61" s="34" t="str">
        <f>_xlfn.IFNA(VLOOKUP($C61&amp;","&amp;E3,汇编指令!$C$2:$D$235,2,FALSE),"-1")</f>
        <v>-1</v>
      </c>
      <c r="F61" s="32" t="str">
        <f>_xlfn.IFNA(VLOOKUP($C61&amp;","&amp;F3,汇编指令!$C$2:$D$235,2,FALSE),"-1")</f>
        <v>-1</v>
      </c>
      <c r="G61" s="32" t="str">
        <f>_xlfn.IFNA(VLOOKUP($C61&amp;","&amp;G3,汇编指令!$C$2:$D$235,2,FALSE),"-1")</f>
        <v>-1</v>
      </c>
      <c r="H61" s="32" t="str">
        <f>_xlfn.IFNA(VLOOKUP($C61&amp;","&amp;H3,汇编指令!$C$2:$D$235,2,FALSE),"-1")</f>
        <v>-1</v>
      </c>
      <c r="I61" s="32" t="str">
        <f>_xlfn.IFNA(VLOOKUP($C61&amp;","&amp;I3,汇编指令!$C$2:$D$235,2,FALSE),"-1")</f>
        <v>-1</v>
      </c>
      <c r="J61" s="32" t="str">
        <f>_xlfn.IFNA(VLOOKUP($C61&amp;","&amp;J3,汇编指令!$C$2:$D$235,2,FALSE),"-1")</f>
        <v>-1</v>
      </c>
      <c r="K61" s="32" t="str">
        <f>_xlfn.IFNA(VLOOKUP($C61&amp;","&amp;K3,汇编指令!$C$2:$D$235,2,FALSE),"-1")</f>
        <v>-1</v>
      </c>
      <c r="L61" s="32" t="str">
        <f>_xlfn.IFNA(VLOOKUP($C61&amp;","&amp;L3,汇编指令!$C$2:$D$235,2,FALSE),"-1")</f>
        <v>-1</v>
      </c>
      <c r="M61" s="32" t="str">
        <f>_xlfn.IFNA(VLOOKUP($C61&amp;","&amp;M3,汇编指令!$C$2:$D$235,2,FALSE),"-1")</f>
        <v>-1</v>
      </c>
      <c r="N61" s="33" t="str">
        <f>_xlfn.IFNA(VLOOKUP($C61&amp;","&amp;N3,汇编指令!$C$2:$D$235,2,FALSE),"-1")</f>
        <v>52</v>
      </c>
      <c r="O61" s="32" t="str">
        <f>_xlfn.IFNA(VLOOKUP($C61&amp;","&amp;O3,汇编指令!$C$2:$D$235,2,FALSE),"-1")</f>
        <v>-1</v>
      </c>
      <c r="P61" s="32" t="str">
        <f>_xlfn.IFNA(VLOOKUP($C61&amp;","&amp;P3,汇编指令!$C$2:$D$235,2,FALSE),"-1")</f>
        <v>-1</v>
      </c>
      <c r="Q61" s="32" t="str">
        <f>_xlfn.IFNA(VLOOKUP($C61&amp;","&amp;Q3,汇编指令!$C$2:$D$235,2,FALSE),"-1")</f>
        <v>-1</v>
      </c>
      <c r="R61" s="32" t="str">
        <f>_xlfn.IFNA(VLOOKUP($C61&amp;","&amp;R3,汇编指令!$C$2:$D$235,2,FALSE),"-1")</f>
        <v>-1</v>
      </c>
      <c r="S61" s="32" t="str">
        <f>_xlfn.IFNA(VLOOKUP($C61&amp;","&amp;S3,汇编指令!$C$2:$D$235,2,FALSE),"-1")</f>
        <v>-1</v>
      </c>
      <c r="T61" s="32" t="str">
        <f>_xlfn.IFNA(VLOOKUP($C61&amp;","&amp;T3,汇编指令!$C$2:$D$235,2,FALSE),"-1")</f>
        <v>-1</v>
      </c>
      <c r="U61" s="32" t="str">
        <f>_xlfn.IFNA(VLOOKUP($C61&amp;","&amp;U3,汇编指令!$C$2:$D$235,2,FALSE),"-1")</f>
        <v>-1</v>
      </c>
      <c r="V61" s="32" t="str">
        <f>_xlfn.IFNA(VLOOKUP($C61&amp;","&amp;V3,汇编指令!$C$2:$D$235,2,FALSE),"-1")</f>
        <v>-1</v>
      </c>
      <c r="W61" s="32" t="str">
        <f>_xlfn.IFNA(VLOOKUP($C61&amp;","&amp;W3,汇编指令!$C$2:$D$235,2,FALSE),"-1")</f>
        <v>-1</v>
      </c>
      <c r="X61" s="32" t="str">
        <f>_xlfn.IFNA(VLOOKUP($C61&amp;","&amp;X3,汇编指令!$C$2:$D$235,2,FALSE),"-1")</f>
        <v>-1</v>
      </c>
      <c r="Y61" s="32" t="str">
        <f>_xlfn.IFNA(VLOOKUP($C61&amp;","&amp;Y3,汇编指令!$C$2:$D$235,2,FALSE),"-1")</f>
        <v>-1</v>
      </c>
      <c r="Z61" s="32" t="str">
        <f>_xlfn.IFNA(VLOOKUP($C61&amp;","&amp;Z3,汇编指令!$C$2:$D$235,2,FALSE),"-1")</f>
        <v>-1</v>
      </c>
      <c r="AA61" s="32" t="str">
        <f>_xlfn.IFNA(VLOOKUP($C61&amp;","&amp;AA3,汇编指令!$C$2:$D$235,2,FALSE),"-1")</f>
        <v>-1</v>
      </c>
      <c r="AB61" s="53" t="str">
        <f>_xlfn.IFNA(VLOOKUP($C61&amp;","&amp;AB3,汇编指令!$C$2:$D$235,2,FALSE),"-1")</f>
        <v>-1</v>
      </c>
    </row>
    <row r="62" ht="20" customHeight="1" spans="1:28">
      <c r="A62" s="16">
        <v>2</v>
      </c>
      <c r="B62" s="21">
        <f t="shared" si="11"/>
        <v>58</v>
      </c>
      <c r="C62" s="24" t="s">
        <v>977</v>
      </c>
      <c r="D62" s="23" t="str">
        <f t="shared" si="10"/>
        <v>3A</v>
      </c>
      <c r="E62" s="34" t="str">
        <f>_xlfn.IFNA(VLOOKUP($C62&amp;","&amp;E3,汇编指令!$C$2:$D$235,2,FALSE),"-1")</f>
        <v>-1</v>
      </c>
      <c r="F62" s="32" t="str">
        <f>_xlfn.IFNA(VLOOKUP($C62&amp;","&amp;F3,汇编指令!$C$2:$D$235,2,FALSE),"-1")</f>
        <v>-1</v>
      </c>
      <c r="G62" s="32" t="str">
        <f>_xlfn.IFNA(VLOOKUP($C62&amp;","&amp;G3,汇编指令!$C$2:$D$235,2,FALSE),"-1")</f>
        <v>-1</v>
      </c>
      <c r="H62" s="32" t="str">
        <f>_xlfn.IFNA(VLOOKUP($C62&amp;","&amp;H3,汇编指令!$C$2:$D$235,2,FALSE),"-1")</f>
        <v>-1</v>
      </c>
      <c r="I62" s="32" t="str">
        <f>_xlfn.IFNA(VLOOKUP($C62&amp;","&amp;I3,汇编指令!$C$2:$D$235,2,FALSE),"-1")</f>
        <v>-1</v>
      </c>
      <c r="J62" s="32" t="str">
        <f>_xlfn.IFNA(VLOOKUP($C62&amp;","&amp;J3,汇编指令!$C$2:$D$235,2,FALSE),"-1")</f>
        <v>-1</v>
      </c>
      <c r="K62" s="32" t="str">
        <f>_xlfn.IFNA(VLOOKUP($C62&amp;","&amp;K3,汇编指令!$C$2:$D$235,2,FALSE),"-1")</f>
        <v>-1</v>
      </c>
      <c r="L62" s="32" t="str">
        <f>_xlfn.IFNA(VLOOKUP($C62&amp;","&amp;L3,汇编指令!$C$2:$D$235,2,FALSE),"-1")</f>
        <v>-1</v>
      </c>
      <c r="M62" s="32" t="str">
        <f>_xlfn.IFNA(VLOOKUP($C62&amp;","&amp;M3,汇编指令!$C$2:$D$235,2,FALSE),"-1")</f>
        <v>-1</v>
      </c>
      <c r="N62" s="32" t="str">
        <f>_xlfn.IFNA(VLOOKUP($C62&amp;","&amp;N3,汇编指令!$C$2:$D$235,2,FALSE),"-1")</f>
        <v>-1</v>
      </c>
      <c r="O62" s="32" t="str">
        <f>_xlfn.IFNA(VLOOKUP($C62&amp;","&amp;O3,汇编指令!$C$2:$D$235,2,FALSE),"-1")</f>
        <v>-1</v>
      </c>
      <c r="P62" s="32" t="str">
        <f>_xlfn.IFNA(VLOOKUP($C62&amp;","&amp;P3,汇编指令!$C$2:$D$235,2,FALSE),"-1")</f>
        <v>-1</v>
      </c>
      <c r="Q62" s="32" t="str">
        <f>_xlfn.IFNA(VLOOKUP($C62&amp;","&amp;Q3,汇编指令!$C$2:$D$235,2,FALSE),"-1")</f>
        <v>-1</v>
      </c>
      <c r="R62" s="32" t="str">
        <f>_xlfn.IFNA(VLOOKUP($C62&amp;","&amp;R3,汇编指令!$C$2:$D$235,2,FALSE),"-1")</f>
        <v>-1</v>
      </c>
      <c r="S62" s="32" t="str">
        <f>_xlfn.IFNA(VLOOKUP($C62&amp;","&amp;S3,汇编指令!$C$2:$D$235,2,FALSE),"-1")</f>
        <v>-1</v>
      </c>
      <c r="T62" s="32" t="str">
        <f>_xlfn.IFNA(VLOOKUP($C62&amp;","&amp;T3,汇编指令!$C$2:$D$235,2,FALSE),"-1")</f>
        <v>-1</v>
      </c>
      <c r="U62" s="32" t="str">
        <f>_xlfn.IFNA(VLOOKUP($C62&amp;","&amp;U3,汇编指令!$C$2:$D$235,2,FALSE),"-1")</f>
        <v>-1</v>
      </c>
      <c r="V62" s="32" t="str">
        <f>_xlfn.IFNA(VLOOKUP($C62&amp;","&amp;V3,汇编指令!$C$2:$D$235,2,FALSE),"-1")</f>
        <v>-1</v>
      </c>
      <c r="W62" s="32" t="str">
        <f>_xlfn.IFNA(VLOOKUP($C62&amp;","&amp;W3,汇编指令!$C$2:$D$235,2,FALSE),"-1")</f>
        <v>-1</v>
      </c>
      <c r="X62" s="33" t="str">
        <f>_xlfn.IFNA(VLOOKUP($C62&amp;","&amp;X3,汇编指令!$C$2:$D$235,2,FALSE),"-1")</f>
        <v>D8</v>
      </c>
      <c r="Y62" s="32" t="str">
        <f>_xlfn.IFNA(VLOOKUP($C62&amp;","&amp;Y3,汇编指令!$C$2:$D$235,2,FALSE),"-1")</f>
        <v>-1</v>
      </c>
      <c r="Z62" s="32" t="str">
        <f>_xlfn.IFNA(VLOOKUP($C62&amp;","&amp;Z3,汇编指令!$C$2:$D$235,2,FALSE),"-1")</f>
        <v>-1</v>
      </c>
      <c r="AA62" s="32" t="str">
        <f>_xlfn.IFNA(VLOOKUP($C62&amp;","&amp;AA3,汇编指令!$C$2:$D$235,2,FALSE),"-1")</f>
        <v>-1</v>
      </c>
      <c r="AB62" s="53" t="str">
        <f>_xlfn.IFNA(VLOOKUP($C62&amp;","&amp;AB3,汇编指令!$C$2:$D$235,2,FALSE),"-1")</f>
        <v>-1</v>
      </c>
    </row>
    <row r="63" ht="20" customHeight="1" spans="1:28">
      <c r="A63" s="16">
        <v>2</v>
      </c>
      <c r="B63" s="21">
        <f t="shared" si="11"/>
        <v>59</v>
      </c>
      <c r="C63" s="24" t="s">
        <v>978</v>
      </c>
      <c r="D63" s="23" t="str">
        <f t="shared" si="10"/>
        <v>3B</v>
      </c>
      <c r="E63" s="34" t="str">
        <f>_xlfn.IFNA(VLOOKUP($C63&amp;","&amp;E3,汇编指令!$C$2:$D$235,2,FALSE),"-1")</f>
        <v>-1</v>
      </c>
      <c r="F63" s="32" t="str">
        <f>_xlfn.IFNA(VLOOKUP($C63&amp;","&amp;F3,汇编指令!$C$2:$D$235,2,FALSE),"-1")</f>
        <v>-1</v>
      </c>
      <c r="G63" s="32" t="str">
        <f>_xlfn.IFNA(VLOOKUP($C63&amp;","&amp;G3,汇编指令!$C$2:$D$235,2,FALSE),"-1")</f>
        <v>-1</v>
      </c>
      <c r="H63" s="32" t="str">
        <f>_xlfn.IFNA(VLOOKUP($C63&amp;","&amp;H3,汇编指令!$C$2:$D$235,2,FALSE),"-1")</f>
        <v>-1</v>
      </c>
      <c r="I63" s="32" t="str">
        <f>_xlfn.IFNA(VLOOKUP($C63&amp;","&amp;I3,汇编指令!$C$2:$D$235,2,FALSE),"-1")</f>
        <v>-1</v>
      </c>
      <c r="J63" s="32" t="str">
        <f>_xlfn.IFNA(VLOOKUP($C63&amp;","&amp;J3,汇编指令!$C$2:$D$235,2,FALSE),"-1")</f>
        <v>-1</v>
      </c>
      <c r="K63" s="32" t="str">
        <f>_xlfn.IFNA(VLOOKUP($C63&amp;","&amp;K3,汇编指令!$C$2:$D$235,2,FALSE),"-1")</f>
        <v>-1</v>
      </c>
      <c r="L63" s="32" t="str">
        <f>_xlfn.IFNA(VLOOKUP($C63&amp;","&amp;L3,汇编指令!$C$2:$D$235,2,FALSE),"-1")</f>
        <v>-1</v>
      </c>
      <c r="M63" s="32" t="str">
        <f>_xlfn.IFNA(VLOOKUP($C63&amp;","&amp;M3,汇编指令!$C$2:$D$235,2,FALSE),"-1")</f>
        <v>-1</v>
      </c>
      <c r="N63" s="32" t="str">
        <f>_xlfn.IFNA(VLOOKUP($C63&amp;","&amp;N3,汇编指令!$C$2:$D$235,2,FALSE),"-1")</f>
        <v>-1</v>
      </c>
      <c r="O63" s="32" t="str">
        <f>_xlfn.IFNA(VLOOKUP($C63&amp;","&amp;O3,汇编指令!$C$2:$D$235,2,FALSE),"-1")</f>
        <v>-1</v>
      </c>
      <c r="P63" s="32" t="str">
        <f>_xlfn.IFNA(VLOOKUP($C63&amp;","&amp;P3,汇编指令!$C$2:$D$235,2,FALSE),"-1")</f>
        <v>-1</v>
      </c>
      <c r="Q63" s="32" t="str">
        <f>_xlfn.IFNA(VLOOKUP($C63&amp;","&amp;Q3,汇编指令!$C$2:$D$235,2,FALSE),"-1")</f>
        <v>-1</v>
      </c>
      <c r="R63" s="32" t="str">
        <f>_xlfn.IFNA(VLOOKUP($C63&amp;","&amp;R3,汇编指令!$C$2:$D$235,2,FALSE),"-1")</f>
        <v>-1</v>
      </c>
      <c r="S63" s="32" t="str">
        <f>_xlfn.IFNA(VLOOKUP($C63&amp;","&amp;S3,汇编指令!$C$2:$D$235,2,FALSE),"-1")</f>
        <v>-1</v>
      </c>
      <c r="T63" s="32" t="str">
        <f>_xlfn.IFNA(VLOOKUP($C63&amp;","&amp;T3,汇编指令!$C$2:$D$235,2,FALSE),"-1")</f>
        <v>-1</v>
      </c>
      <c r="U63" s="32" t="str">
        <f>_xlfn.IFNA(VLOOKUP($C63&amp;","&amp;U3,汇编指令!$C$2:$D$235,2,FALSE),"-1")</f>
        <v>-1</v>
      </c>
      <c r="V63" s="32" t="str">
        <f>_xlfn.IFNA(VLOOKUP($C63&amp;","&amp;V3,汇编指令!$C$2:$D$235,2,FALSE),"-1")</f>
        <v>-1</v>
      </c>
      <c r="W63" s="32" t="str">
        <f>_xlfn.IFNA(VLOOKUP($C63&amp;","&amp;W3,汇编指令!$C$2:$D$235,2,FALSE),"-1")</f>
        <v>-1</v>
      </c>
      <c r="X63" s="33" t="str">
        <f>_xlfn.IFNA(VLOOKUP($C63&amp;","&amp;X3,汇编指令!$C$2:$D$235,2,FALSE),"-1")</f>
        <v>D9</v>
      </c>
      <c r="Y63" s="32" t="str">
        <f>_xlfn.IFNA(VLOOKUP($C63&amp;","&amp;Y3,汇编指令!$C$2:$D$235,2,FALSE),"-1")</f>
        <v>-1</v>
      </c>
      <c r="Z63" s="32" t="str">
        <f>_xlfn.IFNA(VLOOKUP($C63&amp;","&amp;Z3,汇编指令!$C$2:$D$235,2,FALSE),"-1")</f>
        <v>-1</v>
      </c>
      <c r="AA63" s="32" t="str">
        <f>_xlfn.IFNA(VLOOKUP($C63&amp;","&amp;AA3,汇编指令!$C$2:$D$235,2,FALSE),"-1")</f>
        <v>-1</v>
      </c>
      <c r="AB63" s="53" t="str">
        <f>_xlfn.IFNA(VLOOKUP($C63&amp;","&amp;AB3,汇编指令!$C$2:$D$235,2,FALSE),"-1")</f>
        <v>-1</v>
      </c>
    </row>
    <row r="64" ht="20" customHeight="1" spans="1:28">
      <c r="A64" s="16">
        <v>2</v>
      </c>
      <c r="B64" s="21">
        <f t="shared" si="11"/>
        <v>60</v>
      </c>
      <c r="C64" s="24" t="s">
        <v>979</v>
      </c>
      <c r="D64" s="23" t="str">
        <f t="shared" si="10"/>
        <v>3C</v>
      </c>
      <c r="E64" s="34" t="str">
        <f>_xlfn.IFNA(VLOOKUP($C64&amp;","&amp;E3,汇编指令!$C$2:$D$235,2,FALSE),"-1")</f>
        <v>-1</v>
      </c>
      <c r="F64" s="32" t="str">
        <f>_xlfn.IFNA(VLOOKUP($C64&amp;","&amp;F3,汇编指令!$C$2:$D$235,2,FALSE),"-1")</f>
        <v>-1</v>
      </c>
      <c r="G64" s="32" t="str">
        <f>_xlfn.IFNA(VLOOKUP($C64&amp;","&amp;G3,汇编指令!$C$2:$D$235,2,FALSE),"-1")</f>
        <v>-1</v>
      </c>
      <c r="H64" s="32" t="str">
        <f>_xlfn.IFNA(VLOOKUP($C64&amp;","&amp;H3,汇编指令!$C$2:$D$235,2,FALSE),"-1")</f>
        <v>-1</v>
      </c>
      <c r="I64" s="32" t="str">
        <f>_xlfn.IFNA(VLOOKUP($C64&amp;","&amp;I3,汇编指令!$C$2:$D$235,2,FALSE),"-1")</f>
        <v>-1</v>
      </c>
      <c r="J64" s="32" t="str">
        <f>_xlfn.IFNA(VLOOKUP($C64&amp;","&amp;J3,汇编指令!$C$2:$D$235,2,FALSE),"-1")</f>
        <v>-1</v>
      </c>
      <c r="K64" s="32" t="str">
        <f>_xlfn.IFNA(VLOOKUP($C64&amp;","&amp;K3,汇编指令!$C$2:$D$235,2,FALSE),"-1")</f>
        <v>-1</v>
      </c>
      <c r="L64" s="32" t="str">
        <f>_xlfn.IFNA(VLOOKUP($C64&amp;","&amp;L3,汇编指令!$C$2:$D$235,2,FALSE),"-1")</f>
        <v>-1</v>
      </c>
      <c r="M64" s="32" t="str">
        <f>_xlfn.IFNA(VLOOKUP($C64&amp;","&amp;M3,汇编指令!$C$2:$D$235,2,FALSE),"-1")</f>
        <v>-1</v>
      </c>
      <c r="N64" s="32" t="str">
        <f>_xlfn.IFNA(VLOOKUP($C64&amp;","&amp;N3,汇编指令!$C$2:$D$235,2,FALSE),"-1")</f>
        <v>-1</v>
      </c>
      <c r="O64" s="32" t="str">
        <f>_xlfn.IFNA(VLOOKUP($C64&amp;","&amp;O3,汇编指令!$C$2:$D$235,2,FALSE),"-1")</f>
        <v>-1</v>
      </c>
      <c r="P64" s="32" t="str">
        <f>_xlfn.IFNA(VLOOKUP($C64&amp;","&amp;P3,汇编指令!$C$2:$D$235,2,FALSE),"-1")</f>
        <v>-1</v>
      </c>
      <c r="Q64" s="32" t="str">
        <f>_xlfn.IFNA(VLOOKUP($C64&amp;","&amp;Q3,汇编指令!$C$2:$D$235,2,FALSE),"-1")</f>
        <v>-1</v>
      </c>
      <c r="R64" s="32" t="str">
        <f>_xlfn.IFNA(VLOOKUP($C64&amp;","&amp;R3,汇编指令!$C$2:$D$235,2,FALSE),"-1")</f>
        <v>-1</v>
      </c>
      <c r="S64" s="32" t="str">
        <f>_xlfn.IFNA(VLOOKUP($C64&amp;","&amp;S3,汇编指令!$C$2:$D$235,2,FALSE),"-1")</f>
        <v>-1</v>
      </c>
      <c r="T64" s="32" t="str">
        <f>_xlfn.IFNA(VLOOKUP($C64&amp;","&amp;T3,汇编指令!$C$2:$D$235,2,FALSE),"-1")</f>
        <v>-1</v>
      </c>
      <c r="U64" s="32" t="str">
        <f>_xlfn.IFNA(VLOOKUP($C64&amp;","&amp;U3,汇编指令!$C$2:$D$235,2,FALSE),"-1")</f>
        <v>-1</v>
      </c>
      <c r="V64" s="32" t="str">
        <f>_xlfn.IFNA(VLOOKUP($C64&amp;","&amp;V3,汇编指令!$C$2:$D$235,2,FALSE),"-1")</f>
        <v>-1</v>
      </c>
      <c r="W64" s="32" t="str">
        <f>_xlfn.IFNA(VLOOKUP($C64&amp;","&amp;W3,汇编指令!$C$2:$D$235,2,FALSE),"-1")</f>
        <v>-1</v>
      </c>
      <c r="X64" s="33" t="str">
        <f>_xlfn.IFNA(VLOOKUP($C64&amp;","&amp;X3,汇编指令!$C$2:$D$235,2,FALSE),"-1")</f>
        <v>DA</v>
      </c>
      <c r="Y64" s="32" t="str">
        <f>_xlfn.IFNA(VLOOKUP($C64&amp;","&amp;Y3,汇编指令!$C$2:$D$235,2,FALSE),"-1")</f>
        <v>-1</v>
      </c>
      <c r="Z64" s="32" t="str">
        <f>_xlfn.IFNA(VLOOKUP($C64&amp;","&amp;Z3,汇编指令!$C$2:$D$235,2,FALSE),"-1")</f>
        <v>-1</v>
      </c>
      <c r="AA64" s="32" t="str">
        <f>_xlfn.IFNA(VLOOKUP($C64&amp;","&amp;AA3,汇编指令!$C$2:$D$235,2,FALSE),"-1")</f>
        <v>-1</v>
      </c>
      <c r="AB64" s="53" t="str">
        <f>_xlfn.IFNA(VLOOKUP($C64&amp;","&amp;AB3,汇编指令!$C$2:$D$235,2,FALSE),"-1")</f>
        <v>-1</v>
      </c>
    </row>
    <row r="65" ht="20" customHeight="1" spans="1:28">
      <c r="A65" s="16">
        <v>2</v>
      </c>
      <c r="B65" s="21">
        <f t="shared" si="11"/>
        <v>61</v>
      </c>
      <c r="C65" s="24" t="s">
        <v>980</v>
      </c>
      <c r="D65" s="23" t="str">
        <f t="shared" si="10"/>
        <v>3D</v>
      </c>
      <c r="E65" s="34" t="str">
        <f>_xlfn.IFNA(VLOOKUP($C65&amp;","&amp;E3,汇编指令!$C$2:$D$235,2,FALSE),"-1")</f>
        <v>-1</v>
      </c>
      <c r="F65" s="32" t="str">
        <f>_xlfn.IFNA(VLOOKUP($C65&amp;","&amp;F3,汇编指令!$C$2:$D$235,2,FALSE),"-1")</f>
        <v>-1</v>
      </c>
      <c r="G65" s="32" t="str">
        <f>_xlfn.IFNA(VLOOKUP($C65&amp;","&amp;G3,汇编指令!$C$2:$D$235,2,FALSE),"-1")</f>
        <v>-1</v>
      </c>
      <c r="H65" s="32" t="str">
        <f>_xlfn.IFNA(VLOOKUP($C65&amp;","&amp;H3,汇编指令!$C$2:$D$235,2,FALSE),"-1")</f>
        <v>-1</v>
      </c>
      <c r="I65" s="32" t="str">
        <f>_xlfn.IFNA(VLOOKUP($C65&amp;","&amp;I3,汇编指令!$C$2:$D$235,2,FALSE),"-1")</f>
        <v>-1</v>
      </c>
      <c r="J65" s="32" t="str">
        <f>_xlfn.IFNA(VLOOKUP($C65&amp;","&amp;J3,汇编指令!$C$2:$D$235,2,FALSE),"-1")</f>
        <v>-1</v>
      </c>
      <c r="K65" s="32" t="str">
        <f>_xlfn.IFNA(VLOOKUP($C65&amp;","&amp;K3,汇编指令!$C$2:$D$235,2,FALSE),"-1")</f>
        <v>-1</v>
      </c>
      <c r="L65" s="32" t="str">
        <f>_xlfn.IFNA(VLOOKUP($C65&amp;","&amp;L3,汇编指令!$C$2:$D$235,2,FALSE),"-1")</f>
        <v>-1</v>
      </c>
      <c r="M65" s="32" t="str">
        <f>_xlfn.IFNA(VLOOKUP($C65&amp;","&amp;M3,汇编指令!$C$2:$D$235,2,FALSE),"-1")</f>
        <v>-1</v>
      </c>
      <c r="N65" s="32" t="str">
        <f>_xlfn.IFNA(VLOOKUP($C65&amp;","&amp;N3,汇编指令!$C$2:$D$235,2,FALSE),"-1")</f>
        <v>-1</v>
      </c>
      <c r="O65" s="32" t="str">
        <f>_xlfn.IFNA(VLOOKUP($C65&amp;","&amp;O3,汇编指令!$C$2:$D$235,2,FALSE),"-1")</f>
        <v>-1</v>
      </c>
      <c r="P65" s="32" t="str">
        <f>_xlfn.IFNA(VLOOKUP($C65&amp;","&amp;P3,汇编指令!$C$2:$D$235,2,FALSE),"-1")</f>
        <v>-1</v>
      </c>
      <c r="Q65" s="32" t="str">
        <f>_xlfn.IFNA(VLOOKUP($C65&amp;","&amp;Q3,汇编指令!$C$2:$D$235,2,FALSE),"-1")</f>
        <v>-1</v>
      </c>
      <c r="R65" s="32" t="str">
        <f>_xlfn.IFNA(VLOOKUP($C65&amp;","&amp;R3,汇编指令!$C$2:$D$235,2,FALSE),"-1")</f>
        <v>-1</v>
      </c>
      <c r="S65" s="32" t="str">
        <f>_xlfn.IFNA(VLOOKUP($C65&amp;","&amp;S3,汇编指令!$C$2:$D$235,2,FALSE),"-1")</f>
        <v>-1</v>
      </c>
      <c r="T65" s="32" t="str">
        <f>_xlfn.IFNA(VLOOKUP($C65&amp;","&amp;T3,汇编指令!$C$2:$D$235,2,FALSE),"-1")</f>
        <v>-1</v>
      </c>
      <c r="U65" s="32" t="str">
        <f>_xlfn.IFNA(VLOOKUP($C65&amp;","&amp;U3,汇编指令!$C$2:$D$235,2,FALSE),"-1")</f>
        <v>-1</v>
      </c>
      <c r="V65" s="32" t="str">
        <f>_xlfn.IFNA(VLOOKUP($C65&amp;","&amp;V3,汇编指令!$C$2:$D$235,2,FALSE),"-1")</f>
        <v>-1</v>
      </c>
      <c r="W65" s="32" t="str">
        <f>_xlfn.IFNA(VLOOKUP($C65&amp;","&amp;W3,汇编指令!$C$2:$D$235,2,FALSE),"-1")</f>
        <v>-1</v>
      </c>
      <c r="X65" s="33" t="str">
        <f>_xlfn.IFNA(VLOOKUP($C65&amp;","&amp;X3,汇编指令!$C$2:$D$235,2,FALSE),"-1")</f>
        <v>DB</v>
      </c>
      <c r="Y65" s="32" t="str">
        <f>_xlfn.IFNA(VLOOKUP($C65&amp;","&amp;Y3,汇编指令!$C$2:$D$235,2,FALSE),"-1")</f>
        <v>-1</v>
      </c>
      <c r="Z65" s="32" t="str">
        <f>_xlfn.IFNA(VLOOKUP($C65&amp;","&amp;Z3,汇编指令!$C$2:$D$235,2,FALSE),"-1")</f>
        <v>-1</v>
      </c>
      <c r="AA65" s="32" t="str">
        <f>_xlfn.IFNA(VLOOKUP($C65&amp;","&amp;AA3,汇编指令!$C$2:$D$235,2,FALSE),"-1")</f>
        <v>-1</v>
      </c>
      <c r="AB65" s="53" t="str">
        <f>_xlfn.IFNA(VLOOKUP($C65&amp;","&amp;AB3,汇编指令!$C$2:$D$235,2,FALSE),"-1")</f>
        <v>-1</v>
      </c>
    </row>
    <row r="66" ht="20" customHeight="1" spans="1:28">
      <c r="A66" s="16">
        <v>2</v>
      </c>
      <c r="B66" s="21">
        <f t="shared" si="11"/>
        <v>62</v>
      </c>
      <c r="C66" s="24" t="s">
        <v>981</v>
      </c>
      <c r="D66" s="23" t="str">
        <f t="shared" si="10"/>
        <v>3E</v>
      </c>
      <c r="E66" s="34" t="str">
        <f>_xlfn.IFNA(VLOOKUP($C66&amp;","&amp;E3,汇编指令!$C$2:$D$235,2,FALSE),"-1")</f>
        <v>-1</v>
      </c>
      <c r="F66" s="32" t="str">
        <f>_xlfn.IFNA(VLOOKUP($C66&amp;","&amp;F3,汇编指令!$C$2:$D$235,2,FALSE),"-1")</f>
        <v>-1</v>
      </c>
      <c r="G66" s="32" t="str">
        <f>_xlfn.IFNA(VLOOKUP($C66&amp;","&amp;G3,汇编指令!$C$2:$D$235,2,FALSE),"-1")</f>
        <v>-1</v>
      </c>
      <c r="H66" s="32" t="str">
        <f>_xlfn.IFNA(VLOOKUP($C66&amp;","&amp;H3,汇编指令!$C$2:$D$235,2,FALSE),"-1")</f>
        <v>-1</v>
      </c>
      <c r="I66" s="32" t="str">
        <f>_xlfn.IFNA(VLOOKUP($C66&amp;","&amp;I3,汇编指令!$C$2:$D$235,2,FALSE),"-1")</f>
        <v>-1</v>
      </c>
      <c r="J66" s="32" t="str">
        <f>_xlfn.IFNA(VLOOKUP($C66&amp;","&amp;J3,汇编指令!$C$2:$D$235,2,FALSE),"-1")</f>
        <v>-1</v>
      </c>
      <c r="K66" s="32" t="str">
        <f>_xlfn.IFNA(VLOOKUP($C66&amp;","&amp;K3,汇编指令!$C$2:$D$235,2,FALSE),"-1")</f>
        <v>-1</v>
      </c>
      <c r="L66" s="32" t="str">
        <f>_xlfn.IFNA(VLOOKUP($C66&amp;","&amp;L3,汇编指令!$C$2:$D$235,2,FALSE),"-1")</f>
        <v>-1</v>
      </c>
      <c r="M66" s="32" t="str">
        <f>_xlfn.IFNA(VLOOKUP($C66&amp;","&amp;M3,汇编指令!$C$2:$D$235,2,FALSE),"-1")</f>
        <v>-1</v>
      </c>
      <c r="N66" s="32" t="str">
        <f>_xlfn.IFNA(VLOOKUP($C66&amp;","&amp;N3,汇编指令!$C$2:$D$235,2,FALSE),"-1")</f>
        <v>-1</v>
      </c>
      <c r="O66" s="32" t="str">
        <f>_xlfn.IFNA(VLOOKUP($C66&amp;","&amp;O3,汇编指令!$C$2:$D$235,2,FALSE),"-1")</f>
        <v>-1</v>
      </c>
      <c r="P66" s="32" t="str">
        <f>_xlfn.IFNA(VLOOKUP($C66&amp;","&amp;P3,汇编指令!$C$2:$D$235,2,FALSE),"-1")</f>
        <v>-1</v>
      </c>
      <c r="Q66" s="32" t="str">
        <f>_xlfn.IFNA(VLOOKUP($C66&amp;","&amp;Q3,汇编指令!$C$2:$D$235,2,FALSE),"-1")</f>
        <v>-1</v>
      </c>
      <c r="R66" s="32" t="str">
        <f>_xlfn.IFNA(VLOOKUP($C66&amp;","&amp;R3,汇编指令!$C$2:$D$235,2,FALSE),"-1")</f>
        <v>-1</v>
      </c>
      <c r="S66" s="32" t="str">
        <f>_xlfn.IFNA(VLOOKUP($C66&amp;","&amp;S3,汇编指令!$C$2:$D$235,2,FALSE),"-1")</f>
        <v>-1</v>
      </c>
      <c r="T66" s="32" t="str">
        <f>_xlfn.IFNA(VLOOKUP($C66&amp;","&amp;T3,汇编指令!$C$2:$D$235,2,FALSE),"-1")</f>
        <v>-1</v>
      </c>
      <c r="U66" s="32" t="str">
        <f>_xlfn.IFNA(VLOOKUP($C66&amp;","&amp;U3,汇编指令!$C$2:$D$235,2,FALSE),"-1")</f>
        <v>-1</v>
      </c>
      <c r="V66" s="32" t="str">
        <f>_xlfn.IFNA(VLOOKUP($C66&amp;","&amp;V3,汇编指令!$C$2:$D$235,2,FALSE),"-1")</f>
        <v>-1</v>
      </c>
      <c r="W66" s="32" t="str">
        <f>_xlfn.IFNA(VLOOKUP($C66&amp;","&amp;W3,汇编指令!$C$2:$D$235,2,FALSE),"-1")</f>
        <v>-1</v>
      </c>
      <c r="X66" s="33" t="str">
        <f>_xlfn.IFNA(VLOOKUP($C66&amp;","&amp;X3,汇编指令!$C$2:$D$235,2,FALSE),"-1")</f>
        <v>DC</v>
      </c>
      <c r="Y66" s="32" t="str">
        <f>_xlfn.IFNA(VLOOKUP($C66&amp;","&amp;Y3,汇编指令!$C$2:$D$235,2,FALSE),"-1")</f>
        <v>-1</v>
      </c>
      <c r="Z66" s="32" t="str">
        <f>_xlfn.IFNA(VLOOKUP($C66&amp;","&amp;Z3,汇编指令!$C$2:$D$235,2,FALSE),"-1")</f>
        <v>-1</v>
      </c>
      <c r="AA66" s="32" t="str">
        <f>_xlfn.IFNA(VLOOKUP($C66&amp;","&amp;AA3,汇编指令!$C$2:$D$235,2,FALSE),"-1")</f>
        <v>-1</v>
      </c>
      <c r="AB66" s="53" t="str">
        <f>_xlfn.IFNA(VLOOKUP($C66&amp;","&amp;AB3,汇编指令!$C$2:$D$235,2,FALSE),"-1")</f>
        <v>-1</v>
      </c>
    </row>
    <row r="67" ht="20" customHeight="1" spans="1:28">
      <c r="A67" s="16">
        <v>2</v>
      </c>
      <c r="B67" s="21">
        <f t="shared" si="11"/>
        <v>63</v>
      </c>
      <c r="C67" s="24" t="s">
        <v>982</v>
      </c>
      <c r="D67" s="23" t="str">
        <f t="shared" si="10"/>
        <v>3F</v>
      </c>
      <c r="E67" s="34" t="str">
        <f>_xlfn.IFNA(VLOOKUP($C67&amp;","&amp;E3,汇编指令!$C$2:$D$235,2,FALSE),"-1")</f>
        <v>-1</v>
      </c>
      <c r="F67" s="32" t="str">
        <f>_xlfn.IFNA(VLOOKUP($C67&amp;","&amp;F3,汇编指令!$C$2:$D$235,2,FALSE),"-1")</f>
        <v>-1</v>
      </c>
      <c r="G67" s="32" t="str">
        <f>_xlfn.IFNA(VLOOKUP($C67&amp;","&amp;G3,汇编指令!$C$2:$D$235,2,FALSE),"-1")</f>
        <v>-1</v>
      </c>
      <c r="H67" s="32" t="str">
        <f>_xlfn.IFNA(VLOOKUP($C67&amp;","&amp;H3,汇编指令!$C$2:$D$235,2,FALSE),"-1")</f>
        <v>-1</v>
      </c>
      <c r="I67" s="32" t="str">
        <f>_xlfn.IFNA(VLOOKUP($C67&amp;","&amp;I3,汇编指令!$C$2:$D$235,2,FALSE),"-1")</f>
        <v>-1</v>
      </c>
      <c r="J67" s="32" t="str">
        <f>_xlfn.IFNA(VLOOKUP($C67&amp;","&amp;J3,汇编指令!$C$2:$D$235,2,FALSE),"-1")</f>
        <v>-1</v>
      </c>
      <c r="K67" s="32" t="str">
        <f>_xlfn.IFNA(VLOOKUP($C67&amp;","&amp;K3,汇编指令!$C$2:$D$235,2,FALSE),"-1")</f>
        <v>-1</v>
      </c>
      <c r="L67" s="32" t="str">
        <f>_xlfn.IFNA(VLOOKUP($C67&amp;","&amp;L3,汇编指令!$C$2:$D$235,2,FALSE),"-1")</f>
        <v>-1</v>
      </c>
      <c r="M67" s="32" t="str">
        <f>_xlfn.IFNA(VLOOKUP($C67&amp;","&amp;M3,汇编指令!$C$2:$D$235,2,FALSE),"-1")</f>
        <v>-1</v>
      </c>
      <c r="N67" s="32" t="str">
        <f>_xlfn.IFNA(VLOOKUP($C67&amp;","&amp;N3,汇编指令!$C$2:$D$235,2,FALSE),"-1")</f>
        <v>-1</v>
      </c>
      <c r="O67" s="32" t="str">
        <f>_xlfn.IFNA(VLOOKUP($C67&amp;","&amp;O3,汇编指令!$C$2:$D$235,2,FALSE),"-1")</f>
        <v>-1</v>
      </c>
      <c r="P67" s="32" t="str">
        <f>_xlfn.IFNA(VLOOKUP($C67&amp;","&amp;P3,汇编指令!$C$2:$D$235,2,FALSE),"-1")</f>
        <v>-1</v>
      </c>
      <c r="Q67" s="32" t="str">
        <f>_xlfn.IFNA(VLOOKUP($C67&amp;","&amp;Q3,汇编指令!$C$2:$D$235,2,FALSE),"-1")</f>
        <v>-1</v>
      </c>
      <c r="R67" s="32" t="str">
        <f>_xlfn.IFNA(VLOOKUP($C67&amp;","&amp;R3,汇编指令!$C$2:$D$235,2,FALSE),"-1")</f>
        <v>-1</v>
      </c>
      <c r="S67" s="32" t="str">
        <f>_xlfn.IFNA(VLOOKUP($C67&amp;","&amp;S3,汇编指令!$C$2:$D$235,2,FALSE),"-1")</f>
        <v>-1</v>
      </c>
      <c r="T67" s="32" t="str">
        <f>_xlfn.IFNA(VLOOKUP($C67&amp;","&amp;T3,汇编指令!$C$2:$D$235,2,FALSE),"-1")</f>
        <v>-1</v>
      </c>
      <c r="U67" s="32" t="str">
        <f>_xlfn.IFNA(VLOOKUP($C67&amp;","&amp;U3,汇编指令!$C$2:$D$235,2,FALSE),"-1")</f>
        <v>-1</v>
      </c>
      <c r="V67" s="32" t="str">
        <f>_xlfn.IFNA(VLOOKUP($C67&amp;","&amp;V3,汇编指令!$C$2:$D$235,2,FALSE),"-1")</f>
        <v>-1</v>
      </c>
      <c r="W67" s="32" t="str">
        <f>_xlfn.IFNA(VLOOKUP($C67&amp;","&amp;W3,汇编指令!$C$2:$D$235,2,FALSE),"-1")</f>
        <v>-1</v>
      </c>
      <c r="X67" s="33" t="str">
        <f>_xlfn.IFNA(VLOOKUP($C67&amp;","&amp;X3,汇编指令!$C$2:$D$235,2,FALSE),"-1")</f>
        <v>DD</v>
      </c>
      <c r="Y67" s="32" t="str">
        <f>_xlfn.IFNA(VLOOKUP($C67&amp;","&amp;Y3,汇编指令!$C$2:$D$235,2,FALSE),"-1")</f>
        <v>-1</v>
      </c>
      <c r="Z67" s="32" t="str">
        <f>_xlfn.IFNA(VLOOKUP($C67&amp;","&amp;Z3,汇编指令!$C$2:$D$235,2,FALSE),"-1")</f>
        <v>-1</v>
      </c>
      <c r="AA67" s="32" t="str">
        <f>_xlfn.IFNA(VLOOKUP($C67&amp;","&amp;AA3,汇编指令!$C$2:$D$235,2,FALSE),"-1")</f>
        <v>-1</v>
      </c>
      <c r="AB67" s="53" t="str">
        <f>_xlfn.IFNA(VLOOKUP($C67&amp;","&amp;AB3,汇编指令!$C$2:$D$235,2,FALSE),"-1")</f>
        <v>-1</v>
      </c>
    </row>
    <row r="68" ht="20" customHeight="1" spans="1:28">
      <c r="A68" s="16">
        <v>2</v>
      </c>
      <c r="B68" s="21">
        <f t="shared" ref="B68:B77" si="12">ROW()-4</f>
        <v>64</v>
      </c>
      <c r="C68" s="24" t="s">
        <v>983</v>
      </c>
      <c r="D68" s="23" t="str">
        <f t="shared" si="10"/>
        <v>40</v>
      </c>
      <c r="E68" s="34" t="str">
        <f>_xlfn.IFNA(VLOOKUP($C68&amp;","&amp;E3,汇编指令!$C$2:$D$235,2,FALSE),"-1")</f>
        <v>-1</v>
      </c>
      <c r="F68" s="32" t="str">
        <f>_xlfn.IFNA(VLOOKUP($C68&amp;","&amp;F3,汇编指令!$C$2:$D$235,2,FALSE),"-1")</f>
        <v>-1</v>
      </c>
      <c r="G68" s="32" t="str">
        <f>_xlfn.IFNA(VLOOKUP($C68&amp;","&amp;G3,汇编指令!$C$2:$D$235,2,FALSE),"-1")</f>
        <v>-1</v>
      </c>
      <c r="H68" s="32" t="str">
        <f>_xlfn.IFNA(VLOOKUP($C68&amp;","&amp;H3,汇编指令!$C$2:$D$235,2,FALSE),"-1")</f>
        <v>-1</v>
      </c>
      <c r="I68" s="32" t="str">
        <f>_xlfn.IFNA(VLOOKUP($C68&amp;","&amp;I3,汇编指令!$C$2:$D$235,2,FALSE),"-1")</f>
        <v>-1</v>
      </c>
      <c r="J68" s="32" t="str">
        <f>_xlfn.IFNA(VLOOKUP($C68&amp;","&amp;J3,汇编指令!$C$2:$D$235,2,FALSE),"-1")</f>
        <v>-1</v>
      </c>
      <c r="K68" s="32" t="str">
        <f>_xlfn.IFNA(VLOOKUP($C68&amp;","&amp;K3,汇编指令!$C$2:$D$235,2,FALSE),"-1")</f>
        <v>-1</v>
      </c>
      <c r="L68" s="32" t="str">
        <f>_xlfn.IFNA(VLOOKUP($C68&amp;","&amp;L3,汇编指令!$C$2:$D$235,2,FALSE),"-1")</f>
        <v>-1</v>
      </c>
      <c r="M68" s="32" t="str">
        <f>_xlfn.IFNA(VLOOKUP($C68&amp;","&amp;M3,汇编指令!$C$2:$D$235,2,FALSE),"-1")</f>
        <v>-1</v>
      </c>
      <c r="N68" s="32" t="str">
        <f>_xlfn.IFNA(VLOOKUP($C68&amp;","&amp;N3,汇编指令!$C$2:$D$235,2,FALSE),"-1")</f>
        <v>-1</v>
      </c>
      <c r="O68" s="32" t="str">
        <f>_xlfn.IFNA(VLOOKUP($C68&amp;","&amp;O3,汇编指令!$C$2:$D$235,2,FALSE),"-1")</f>
        <v>-1</v>
      </c>
      <c r="P68" s="32" t="str">
        <f>_xlfn.IFNA(VLOOKUP($C68&amp;","&amp;P3,汇编指令!$C$2:$D$235,2,FALSE),"-1")</f>
        <v>-1</v>
      </c>
      <c r="Q68" s="32" t="str">
        <f>_xlfn.IFNA(VLOOKUP($C68&amp;","&amp;Q3,汇编指令!$C$2:$D$235,2,FALSE),"-1")</f>
        <v>-1</v>
      </c>
      <c r="R68" s="32" t="str">
        <f>_xlfn.IFNA(VLOOKUP($C68&amp;","&amp;R3,汇编指令!$C$2:$D$235,2,FALSE),"-1")</f>
        <v>-1</v>
      </c>
      <c r="S68" s="32" t="str">
        <f>_xlfn.IFNA(VLOOKUP($C68&amp;","&amp;S3,汇编指令!$C$2:$D$235,2,FALSE),"-1")</f>
        <v>-1</v>
      </c>
      <c r="T68" s="32" t="str">
        <f>_xlfn.IFNA(VLOOKUP($C68&amp;","&amp;T3,汇编指令!$C$2:$D$235,2,FALSE),"-1")</f>
        <v>-1</v>
      </c>
      <c r="U68" s="32" t="str">
        <f>_xlfn.IFNA(VLOOKUP($C68&amp;","&amp;U3,汇编指令!$C$2:$D$235,2,FALSE),"-1")</f>
        <v>-1</v>
      </c>
      <c r="V68" s="32" t="str">
        <f>_xlfn.IFNA(VLOOKUP($C68&amp;","&amp;V3,汇编指令!$C$2:$D$235,2,FALSE),"-1")</f>
        <v>-1</v>
      </c>
      <c r="W68" s="32" t="str">
        <f>_xlfn.IFNA(VLOOKUP($C68&amp;","&amp;W3,汇编指令!$C$2:$D$235,2,FALSE),"-1")</f>
        <v>-1</v>
      </c>
      <c r="X68" s="33" t="str">
        <f>_xlfn.IFNA(VLOOKUP($C68&amp;","&amp;X3,汇编指令!$C$2:$D$235,2,FALSE),"-1")</f>
        <v>DE</v>
      </c>
      <c r="Y68" s="32" t="str">
        <f>_xlfn.IFNA(VLOOKUP($C68&amp;","&amp;Y3,汇编指令!$C$2:$D$235,2,FALSE),"-1")</f>
        <v>-1</v>
      </c>
      <c r="Z68" s="32" t="str">
        <f>_xlfn.IFNA(VLOOKUP($C68&amp;","&amp;Z3,汇编指令!$C$2:$D$235,2,FALSE),"-1")</f>
        <v>-1</v>
      </c>
      <c r="AA68" s="32" t="str">
        <f>_xlfn.IFNA(VLOOKUP($C68&amp;","&amp;AA3,汇编指令!$C$2:$D$235,2,FALSE),"-1")</f>
        <v>-1</v>
      </c>
      <c r="AB68" s="53" t="str">
        <f>_xlfn.IFNA(VLOOKUP($C68&amp;","&amp;AB3,汇编指令!$C$2:$D$235,2,FALSE),"-1")</f>
        <v>-1</v>
      </c>
    </row>
    <row r="69" ht="20" customHeight="1" spans="1:28">
      <c r="A69" s="16">
        <v>2</v>
      </c>
      <c r="B69" s="21">
        <f t="shared" si="12"/>
        <v>65</v>
      </c>
      <c r="C69" s="24" t="s">
        <v>984</v>
      </c>
      <c r="D69" s="23" t="str">
        <f t="shared" si="10"/>
        <v>41</v>
      </c>
      <c r="E69" s="34" t="str">
        <f>_xlfn.IFNA(VLOOKUP($C69&amp;","&amp;E3,汇编指令!$C$2:$D$235,2,FALSE),"-1")</f>
        <v>-1</v>
      </c>
      <c r="F69" s="32" t="str">
        <f>_xlfn.IFNA(VLOOKUP($C69&amp;","&amp;F3,汇编指令!$C$2:$D$235,2,FALSE),"-1")</f>
        <v>-1</v>
      </c>
      <c r="G69" s="32" t="str">
        <f>_xlfn.IFNA(VLOOKUP($C69&amp;","&amp;G3,汇编指令!$C$2:$D$235,2,FALSE),"-1")</f>
        <v>-1</v>
      </c>
      <c r="H69" s="32" t="str">
        <f>_xlfn.IFNA(VLOOKUP($C69&amp;","&amp;H3,汇编指令!$C$2:$D$235,2,FALSE),"-1")</f>
        <v>-1</v>
      </c>
      <c r="I69" s="32" t="str">
        <f>_xlfn.IFNA(VLOOKUP($C69&amp;","&amp;I3,汇编指令!$C$2:$D$235,2,FALSE),"-1")</f>
        <v>-1</v>
      </c>
      <c r="J69" s="32" t="str">
        <f>_xlfn.IFNA(VLOOKUP($C69&amp;","&amp;J3,汇编指令!$C$2:$D$235,2,FALSE),"-1")</f>
        <v>-1</v>
      </c>
      <c r="K69" s="32" t="str">
        <f>_xlfn.IFNA(VLOOKUP($C69&amp;","&amp;K3,汇编指令!$C$2:$D$235,2,FALSE),"-1")</f>
        <v>-1</v>
      </c>
      <c r="L69" s="32" t="str">
        <f>_xlfn.IFNA(VLOOKUP($C69&amp;","&amp;L3,汇编指令!$C$2:$D$235,2,FALSE),"-1")</f>
        <v>-1</v>
      </c>
      <c r="M69" s="32" t="str">
        <f>_xlfn.IFNA(VLOOKUP($C69&amp;","&amp;M3,汇编指令!$C$2:$D$235,2,FALSE),"-1")</f>
        <v>-1</v>
      </c>
      <c r="N69" s="32" t="str">
        <f>_xlfn.IFNA(VLOOKUP($C69&amp;","&amp;N3,汇编指令!$C$2:$D$235,2,FALSE),"-1")</f>
        <v>-1</v>
      </c>
      <c r="O69" s="32" t="str">
        <f>_xlfn.IFNA(VLOOKUP($C69&amp;","&amp;O3,汇编指令!$C$2:$D$235,2,FALSE),"-1")</f>
        <v>-1</v>
      </c>
      <c r="P69" s="32" t="str">
        <f>_xlfn.IFNA(VLOOKUP($C69&amp;","&amp;P3,汇编指令!$C$2:$D$235,2,FALSE),"-1")</f>
        <v>-1</v>
      </c>
      <c r="Q69" s="32" t="str">
        <f>_xlfn.IFNA(VLOOKUP($C69&amp;","&amp;Q3,汇编指令!$C$2:$D$235,2,FALSE),"-1")</f>
        <v>-1</v>
      </c>
      <c r="R69" s="32" t="str">
        <f>_xlfn.IFNA(VLOOKUP($C69&amp;","&amp;R3,汇编指令!$C$2:$D$235,2,FALSE),"-1")</f>
        <v>-1</v>
      </c>
      <c r="S69" s="32" t="str">
        <f>_xlfn.IFNA(VLOOKUP($C69&amp;","&amp;S3,汇编指令!$C$2:$D$235,2,FALSE),"-1")</f>
        <v>-1</v>
      </c>
      <c r="T69" s="32" t="str">
        <f>_xlfn.IFNA(VLOOKUP($C69&amp;","&amp;T3,汇编指令!$C$2:$D$235,2,FALSE),"-1")</f>
        <v>-1</v>
      </c>
      <c r="U69" s="32" t="str">
        <f>_xlfn.IFNA(VLOOKUP($C69&amp;","&amp;U3,汇编指令!$C$2:$D$235,2,FALSE),"-1")</f>
        <v>-1</v>
      </c>
      <c r="V69" s="32" t="str">
        <f>_xlfn.IFNA(VLOOKUP($C69&amp;","&amp;V3,汇编指令!$C$2:$D$235,2,FALSE),"-1")</f>
        <v>-1</v>
      </c>
      <c r="W69" s="32" t="str">
        <f>_xlfn.IFNA(VLOOKUP($C69&amp;","&amp;W3,汇编指令!$C$2:$D$235,2,FALSE),"-1")</f>
        <v>-1</v>
      </c>
      <c r="X69" s="33" t="str">
        <f>_xlfn.IFNA(VLOOKUP($C69&amp;","&amp;X3,汇编指令!$C$2:$D$235,2,FALSE),"-1")</f>
        <v>DF</v>
      </c>
      <c r="Y69" s="32" t="str">
        <f>_xlfn.IFNA(VLOOKUP($C69&amp;","&amp;Y3,汇编指令!$C$2:$D$235,2,FALSE),"-1")</f>
        <v>-1</v>
      </c>
      <c r="Z69" s="32" t="str">
        <f>_xlfn.IFNA(VLOOKUP($C69&amp;","&amp;Z3,汇编指令!$C$2:$D$235,2,FALSE),"-1")</f>
        <v>-1</v>
      </c>
      <c r="AA69" s="32" t="str">
        <f>_xlfn.IFNA(VLOOKUP($C69&amp;","&amp;AA3,汇编指令!$C$2:$D$235,2,FALSE),"-1")</f>
        <v>-1</v>
      </c>
      <c r="AB69" s="53" t="str">
        <f>_xlfn.IFNA(VLOOKUP($C69&amp;","&amp;AB3,汇编指令!$C$2:$D$235,2,FALSE),"-1")</f>
        <v>-1</v>
      </c>
    </row>
    <row r="70" ht="20" customHeight="1" spans="1:28">
      <c r="A70" s="16">
        <v>2</v>
      </c>
      <c r="B70" s="21">
        <f t="shared" si="12"/>
        <v>66</v>
      </c>
      <c r="C70" s="24" t="s">
        <v>985</v>
      </c>
      <c r="D70" s="23" t="str">
        <f t="shared" si="10"/>
        <v>42</v>
      </c>
      <c r="E70" s="34" t="str">
        <f>_xlfn.IFNA(VLOOKUP($C70&amp;","&amp;E3,汇编指令!$C$2:$D$235,2,FALSE),"-1")</f>
        <v>-1</v>
      </c>
      <c r="F70" s="32" t="str">
        <f>_xlfn.IFNA(VLOOKUP($C70&amp;","&amp;F3,汇编指令!$C$2:$D$235,2,FALSE),"-1")</f>
        <v>-1</v>
      </c>
      <c r="G70" s="32" t="str">
        <f>_xlfn.IFNA(VLOOKUP($C70&amp;","&amp;G3,汇编指令!$C$2:$D$235,2,FALSE),"-1")</f>
        <v>-1</v>
      </c>
      <c r="H70" s="32" t="str">
        <f>_xlfn.IFNA(VLOOKUP($C70&amp;","&amp;H3,汇编指令!$C$2:$D$235,2,FALSE),"-1")</f>
        <v>-1</v>
      </c>
      <c r="I70" s="32" t="str">
        <f>_xlfn.IFNA(VLOOKUP($C70&amp;","&amp;I3,汇编指令!$C$2:$D$235,2,FALSE),"-1")</f>
        <v>-1</v>
      </c>
      <c r="J70" s="32" t="str">
        <f>_xlfn.IFNA(VLOOKUP($C70&amp;","&amp;J3,汇编指令!$C$2:$D$235,2,FALSE),"-1")</f>
        <v>-1</v>
      </c>
      <c r="K70" s="32" t="str">
        <f>_xlfn.IFNA(VLOOKUP($C70&amp;","&amp;K3,汇编指令!$C$2:$D$235,2,FALSE),"-1")</f>
        <v>-1</v>
      </c>
      <c r="L70" s="32" t="str">
        <f>_xlfn.IFNA(VLOOKUP($C70&amp;","&amp;L3,汇编指令!$C$2:$D$235,2,FALSE),"-1")</f>
        <v>-1</v>
      </c>
      <c r="M70" s="32" t="str">
        <f>_xlfn.IFNA(VLOOKUP($C70&amp;","&amp;M3,汇编指令!$C$2:$D$235,2,FALSE),"-1")</f>
        <v>-1</v>
      </c>
      <c r="N70" s="32" t="str">
        <f>_xlfn.IFNA(VLOOKUP($C70&amp;","&amp;N3,汇编指令!$C$2:$D$235,2,FALSE),"-1")</f>
        <v>-1</v>
      </c>
      <c r="O70" s="32" t="str">
        <f>_xlfn.IFNA(VLOOKUP($C70&amp;","&amp;O3,汇编指令!$C$2:$D$235,2,FALSE),"-1")</f>
        <v>-1</v>
      </c>
      <c r="P70" s="32" t="str">
        <f>_xlfn.IFNA(VLOOKUP($C70&amp;","&amp;P3,汇编指令!$C$2:$D$235,2,FALSE),"-1")</f>
        <v>-1</v>
      </c>
      <c r="Q70" s="32" t="str">
        <f>_xlfn.IFNA(VLOOKUP($C70&amp;","&amp;Q3,汇编指令!$C$2:$D$235,2,FALSE),"-1")</f>
        <v>-1</v>
      </c>
      <c r="R70" s="32" t="str">
        <f>_xlfn.IFNA(VLOOKUP($C70&amp;","&amp;R3,汇编指令!$C$2:$D$235,2,FALSE),"-1")</f>
        <v>-1</v>
      </c>
      <c r="S70" s="32" t="str">
        <f>_xlfn.IFNA(VLOOKUP($C70&amp;","&amp;S3,汇编指令!$C$2:$D$235,2,FALSE),"-1")</f>
        <v>-1</v>
      </c>
      <c r="T70" s="32" t="str">
        <f>_xlfn.IFNA(VLOOKUP($C70&amp;","&amp;T3,汇编指令!$C$2:$D$235,2,FALSE),"-1")</f>
        <v>-1</v>
      </c>
      <c r="U70" s="32" t="str">
        <f>_xlfn.IFNA(VLOOKUP($C70&amp;","&amp;U3,汇编指令!$C$2:$D$235,2,FALSE),"-1")</f>
        <v>-1</v>
      </c>
      <c r="V70" s="32" t="str">
        <f>_xlfn.IFNA(VLOOKUP($C70&amp;","&amp;V3,汇编指令!$C$2:$D$235,2,FALSE),"-1")</f>
        <v>-1</v>
      </c>
      <c r="W70" s="32" t="str">
        <f>_xlfn.IFNA(VLOOKUP($C70&amp;","&amp;W3,汇编指令!$C$2:$D$235,2,FALSE),"-1")</f>
        <v>-1</v>
      </c>
      <c r="X70" s="33" t="str">
        <f>_xlfn.IFNA(VLOOKUP($C70&amp;","&amp;X3,汇编指令!$C$2:$D$235,2,FALSE),"-1")</f>
        <v>20</v>
      </c>
      <c r="Y70" s="32" t="str">
        <f>_xlfn.IFNA(VLOOKUP($C70&amp;","&amp;Y3,汇编指令!$C$2:$D$235,2,FALSE),"-1")</f>
        <v>-1</v>
      </c>
      <c r="Z70" s="32" t="str">
        <f>_xlfn.IFNA(VLOOKUP($C70&amp;","&amp;Z3,汇编指令!$C$2:$D$235,2,FALSE),"-1")</f>
        <v>-1</v>
      </c>
      <c r="AA70" s="32" t="str">
        <f>_xlfn.IFNA(VLOOKUP($C70&amp;","&amp;AA3,汇编指令!$C$2:$D$235,2,FALSE),"-1")</f>
        <v>-1</v>
      </c>
      <c r="AB70" s="53" t="str">
        <f>_xlfn.IFNA(VLOOKUP($C70&amp;","&amp;AB3,汇编指令!$C$2:$D$235,2,FALSE),"-1")</f>
        <v>-1</v>
      </c>
    </row>
    <row r="71" ht="20" customHeight="1" spans="1:28">
      <c r="A71" s="16">
        <v>2</v>
      </c>
      <c r="B71" s="21">
        <f t="shared" si="12"/>
        <v>67</v>
      </c>
      <c r="C71" s="24" t="s">
        <v>986</v>
      </c>
      <c r="D71" s="23" t="str">
        <f t="shared" si="10"/>
        <v>43</v>
      </c>
      <c r="E71" s="34" t="str">
        <f>_xlfn.IFNA(VLOOKUP($C71&amp;","&amp;E3,汇编指令!$C$2:$D$235,2,FALSE),"-1")</f>
        <v>-1</v>
      </c>
      <c r="F71" s="32" t="str">
        <f>_xlfn.IFNA(VLOOKUP($C71&amp;","&amp;F3,汇编指令!$C$2:$D$235,2,FALSE),"-1")</f>
        <v>-1</v>
      </c>
      <c r="G71" s="32" t="str">
        <f>_xlfn.IFNA(VLOOKUP($C71&amp;","&amp;G3,汇编指令!$C$2:$D$235,2,FALSE),"-1")</f>
        <v>-1</v>
      </c>
      <c r="H71" s="32" t="str">
        <f>_xlfn.IFNA(VLOOKUP($C71&amp;","&amp;H3,汇编指令!$C$2:$D$235,2,FALSE),"-1")</f>
        <v>-1</v>
      </c>
      <c r="I71" s="32" t="str">
        <f>_xlfn.IFNA(VLOOKUP($C71&amp;","&amp;I3,汇编指令!$C$2:$D$235,2,FALSE),"-1")</f>
        <v>-1</v>
      </c>
      <c r="J71" s="32" t="str">
        <f>_xlfn.IFNA(VLOOKUP($C71&amp;","&amp;J3,汇编指令!$C$2:$D$235,2,FALSE),"-1")</f>
        <v>-1</v>
      </c>
      <c r="K71" s="32" t="str">
        <f>_xlfn.IFNA(VLOOKUP($C71&amp;","&amp;K3,汇编指令!$C$2:$D$235,2,FALSE),"-1")</f>
        <v>-1</v>
      </c>
      <c r="L71" s="32" t="str">
        <f>_xlfn.IFNA(VLOOKUP($C71&amp;","&amp;L3,汇编指令!$C$2:$D$235,2,FALSE),"-1")</f>
        <v>-1</v>
      </c>
      <c r="M71" s="32" t="str">
        <f>_xlfn.IFNA(VLOOKUP($C71&amp;","&amp;M3,汇编指令!$C$2:$D$235,2,FALSE),"-1")</f>
        <v>-1</v>
      </c>
      <c r="N71" s="32" t="str">
        <f>_xlfn.IFNA(VLOOKUP($C71&amp;","&amp;N3,汇编指令!$C$2:$D$235,2,FALSE),"-1")</f>
        <v>-1</v>
      </c>
      <c r="O71" s="32" t="str">
        <f>_xlfn.IFNA(VLOOKUP($C71&amp;","&amp;O3,汇编指令!$C$2:$D$235,2,FALSE),"-1")</f>
        <v>-1</v>
      </c>
      <c r="P71" s="32" t="str">
        <f>_xlfn.IFNA(VLOOKUP($C71&amp;","&amp;P3,汇编指令!$C$2:$D$235,2,FALSE),"-1")</f>
        <v>-1</v>
      </c>
      <c r="Q71" s="32" t="str">
        <f>_xlfn.IFNA(VLOOKUP($C71&amp;","&amp;Q3,汇编指令!$C$2:$D$235,2,FALSE),"-1")</f>
        <v>-1</v>
      </c>
      <c r="R71" s="32" t="str">
        <f>_xlfn.IFNA(VLOOKUP($C71&amp;","&amp;R3,汇编指令!$C$2:$D$235,2,FALSE),"-1")</f>
        <v>-1</v>
      </c>
      <c r="S71" s="32" t="str">
        <f>_xlfn.IFNA(VLOOKUP($C71&amp;","&amp;S3,汇编指令!$C$2:$D$235,2,FALSE),"-1")</f>
        <v>-1</v>
      </c>
      <c r="T71" s="32" t="str">
        <f>_xlfn.IFNA(VLOOKUP($C71&amp;","&amp;T3,汇编指令!$C$2:$D$235,2,FALSE),"-1")</f>
        <v>-1</v>
      </c>
      <c r="U71" s="32" t="str">
        <f>_xlfn.IFNA(VLOOKUP($C71&amp;","&amp;U3,汇编指令!$C$2:$D$235,2,FALSE),"-1")</f>
        <v>-1</v>
      </c>
      <c r="V71" s="32" t="str">
        <f>_xlfn.IFNA(VLOOKUP($C71&amp;","&amp;V3,汇编指令!$C$2:$D$235,2,FALSE),"-1")</f>
        <v>-1</v>
      </c>
      <c r="W71" s="32" t="str">
        <f>_xlfn.IFNA(VLOOKUP($C71&amp;","&amp;W3,汇编指令!$C$2:$D$235,2,FALSE),"-1")</f>
        <v>-1</v>
      </c>
      <c r="X71" s="33" t="str">
        <f>_xlfn.IFNA(VLOOKUP($C71&amp;","&amp;X3,汇编指令!$C$2:$D$235,2,FALSE),"-1")</f>
        <v>10</v>
      </c>
      <c r="Y71" s="32" t="str">
        <f>_xlfn.IFNA(VLOOKUP($C71&amp;","&amp;Y3,汇编指令!$C$2:$D$235,2,FALSE),"-1")</f>
        <v>-1</v>
      </c>
      <c r="Z71" s="32" t="str">
        <f>_xlfn.IFNA(VLOOKUP($C71&amp;","&amp;Z3,汇编指令!$C$2:$D$235,2,FALSE),"-1")</f>
        <v>-1</v>
      </c>
      <c r="AA71" s="32" t="str">
        <f>_xlfn.IFNA(VLOOKUP($C71&amp;","&amp;AA3,汇编指令!$C$2:$D$235,2,FALSE),"-1")</f>
        <v>-1</v>
      </c>
      <c r="AB71" s="53" t="str">
        <f>_xlfn.IFNA(VLOOKUP($C71&amp;","&amp;AB3,汇编指令!$C$2:$D$235,2,FALSE),"-1")</f>
        <v>-1</v>
      </c>
    </row>
    <row r="72" s="7" customFormat="1" ht="20" customHeight="1" spans="1:29">
      <c r="A72" s="16">
        <v>2</v>
      </c>
      <c r="B72" s="21">
        <f t="shared" si="12"/>
        <v>68</v>
      </c>
      <c r="C72" s="24" t="s">
        <v>987</v>
      </c>
      <c r="D72" s="23" t="str">
        <f t="shared" si="10"/>
        <v>44</v>
      </c>
      <c r="E72" s="34" t="str">
        <f>_xlfn.IFNA(VLOOKUP($C72&amp;","&amp;E3,汇编指令!$C$2:$D$235,2,FALSE),"-1")</f>
        <v>-1</v>
      </c>
      <c r="F72" s="32" t="str">
        <f>_xlfn.IFNA(VLOOKUP($C72&amp;","&amp;F3,汇编指令!$C$2:$D$235,2,FALSE),"-1")</f>
        <v>-1</v>
      </c>
      <c r="G72" s="32" t="str">
        <f>_xlfn.IFNA(VLOOKUP($C72&amp;","&amp;G3,汇编指令!$C$2:$D$235,2,FALSE),"-1")</f>
        <v>-1</v>
      </c>
      <c r="H72" s="32" t="str">
        <f>_xlfn.IFNA(VLOOKUP($C72&amp;","&amp;H3,汇编指令!$C$2:$D$235,2,FALSE),"-1")</f>
        <v>-1</v>
      </c>
      <c r="I72" s="32" t="str">
        <f>_xlfn.IFNA(VLOOKUP($C72&amp;","&amp;I3,汇编指令!$C$2:$D$235,2,FALSE),"-1")</f>
        <v>-1</v>
      </c>
      <c r="J72" s="32" t="str">
        <f>_xlfn.IFNA(VLOOKUP($C72&amp;","&amp;J3,汇编指令!$C$2:$D$235,2,FALSE),"-1")</f>
        <v>-1</v>
      </c>
      <c r="K72" s="32" t="str">
        <f>_xlfn.IFNA(VLOOKUP($C72&amp;","&amp;K3,汇编指令!$C$2:$D$235,2,FALSE),"-1")</f>
        <v>-1</v>
      </c>
      <c r="L72" s="32" t="str">
        <f>_xlfn.IFNA(VLOOKUP($C72&amp;","&amp;L3,汇编指令!$C$2:$D$235,2,FALSE),"-1")</f>
        <v>-1</v>
      </c>
      <c r="M72" s="32" t="str">
        <f>_xlfn.IFNA(VLOOKUP($C72&amp;","&amp;M3,汇编指令!$C$2:$D$235,2,FALSE),"-1")</f>
        <v>-1</v>
      </c>
      <c r="N72" s="32" t="str">
        <f>_xlfn.IFNA(VLOOKUP($C72&amp;","&amp;N3,汇编指令!$C$2:$D$235,2,FALSE),"-1")</f>
        <v>-1</v>
      </c>
      <c r="O72" s="32" t="str">
        <f>_xlfn.IFNA(VLOOKUP($C72&amp;","&amp;O3,汇编指令!$C$2:$D$235,2,FALSE),"-1")</f>
        <v>-1</v>
      </c>
      <c r="P72" s="32" t="str">
        <f>_xlfn.IFNA(VLOOKUP($C72&amp;","&amp;P3,汇编指令!$C$2:$D$235,2,FALSE),"-1")</f>
        <v>-1</v>
      </c>
      <c r="Q72" s="32" t="str">
        <f>_xlfn.IFNA(VLOOKUP($C72&amp;","&amp;Q3,汇编指令!$C$2:$D$235,2,FALSE),"-1")</f>
        <v>-1</v>
      </c>
      <c r="R72" s="32" t="str">
        <f>_xlfn.IFNA(VLOOKUP($C72&amp;","&amp;R3,汇编指令!$C$2:$D$235,2,FALSE),"-1")</f>
        <v>-1</v>
      </c>
      <c r="S72" s="32" t="str">
        <f>_xlfn.IFNA(VLOOKUP($C72&amp;","&amp;S3,汇编指令!$C$2:$D$235,2,FALSE),"-1")</f>
        <v>-1</v>
      </c>
      <c r="T72" s="32" t="str">
        <f>_xlfn.IFNA(VLOOKUP($C72&amp;","&amp;T3,汇编指令!$C$2:$D$235,2,FALSE),"-1")</f>
        <v>-1</v>
      </c>
      <c r="U72" s="32" t="str">
        <f>_xlfn.IFNA(VLOOKUP($C72&amp;","&amp;U3,汇编指令!$C$2:$D$235,2,FALSE),"-1")</f>
        <v>-1</v>
      </c>
      <c r="V72" s="32" t="str">
        <f>_xlfn.IFNA(VLOOKUP($C72&amp;","&amp;V3,汇编指令!$C$2:$D$235,2,FALSE),"-1")</f>
        <v>-1</v>
      </c>
      <c r="W72" s="32" t="str">
        <f>_xlfn.IFNA(VLOOKUP($C72&amp;","&amp;W3,汇编指令!$C$2:$D$235,2,FALSE),"-1")</f>
        <v>-1</v>
      </c>
      <c r="X72" s="33" t="str">
        <f>_xlfn.IFNA(VLOOKUP($C72&amp;","&amp;X3,汇编指令!$C$2:$D$235,2,FALSE),"-1")</f>
        <v>30</v>
      </c>
      <c r="Y72" s="32" t="str">
        <f>_xlfn.IFNA(VLOOKUP($C72&amp;","&amp;Y3,汇编指令!$C$2:$D$235,2,FALSE),"-1")</f>
        <v>-1</v>
      </c>
      <c r="Z72" s="32" t="str">
        <f>_xlfn.IFNA(VLOOKUP($C72&amp;","&amp;Z3,汇编指令!$C$2:$D$235,2,FALSE),"-1")</f>
        <v>-1</v>
      </c>
      <c r="AA72" s="32" t="str">
        <f>_xlfn.IFNA(VLOOKUP($C72&amp;","&amp;AA3,汇编指令!$C$2:$D$235,2,FALSE),"-1")</f>
        <v>-1</v>
      </c>
      <c r="AB72" s="53" t="str">
        <f>_xlfn.IFNA(VLOOKUP($C72&amp;","&amp;AB3,汇编指令!$C$2:$D$235,2,FALSE),"-1")</f>
        <v>-1</v>
      </c>
      <c r="AC72" s="55"/>
    </row>
    <row r="73" s="7" customFormat="1" ht="20" customHeight="1" spans="1:29">
      <c r="A73" s="16">
        <v>2</v>
      </c>
      <c r="B73" s="21">
        <f t="shared" si="12"/>
        <v>69</v>
      </c>
      <c r="C73" s="24" t="s">
        <v>988</v>
      </c>
      <c r="D73" s="23" t="str">
        <f t="shared" si="10"/>
        <v>45</v>
      </c>
      <c r="E73" s="31" t="str">
        <f>_xlfn.IFNA(VLOOKUP($C73&amp;","&amp;E3,汇编指令!$C$2:$D$235,2,FALSE),"-1")</f>
        <v>F6</v>
      </c>
      <c r="F73" s="32" t="str">
        <f>_xlfn.IFNA(VLOOKUP($C73&amp;","&amp;F3,汇编指令!$C$2:$D$235,2,FALSE),"-1")</f>
        <v>-1</v>
      </c>
      <c r="G73" s="32" t="str">
        <f>_xlfn.IFNA(VLOOKUP($C73&amp;","&amp;G3,汇编指令!$C$2:$D$235,2,FALSE),"-1")</f>
        <v>-1</v>
      </c>
      <c r="H73" s="32" t="str">
        <f>_xlfn.IFNA(VLOOKUP($C73&amp;","&amp;H3,汇编指令!$C$2:$D$235,2,FALSE),"-1")</f>
        <v>-1</v>
      </c>
      <c r="I73" s="32" t="str">
        <f>_xlfn.IFNA(VLOOKUP($C73&amp;","&amp;I3,汇编指令!$C$2:$D$235,2,FALSE),"-1")</f>
        <v>-1</v>
      </c>
      <c r="J73" s="32" t="str">
        <f>_xlfn.IFNA(VLOOKUP($C73&amp;","&amp;J3,汇编指令!$C$2:$D$235,2,FALSE),"-1")</f>
        <v>-1</v>
      </c>
      <c r="K73" s="32" t="str">
        <f>_xlfn.IFNA(VLOOKUP($C73&amp;","&amp;K3,汇编指令!$C$2:$D$235,2,FALSE),"-1")</f>
        <v>-1</v>
      </c>
      <c r="L73" s="32" t="str">
        <f>_xlfn.IFNA(VLOOKUP($C73&amp;","&amp;L3,汇编指令!$C$2:$D$235,2,FALSE),"-1")</f>
        <v>-1</v>
      </c>
      <c r="M73" s="32" t="str">
        <f>_xlfn.IFNA(VLOOKUP($C73&amp;","&amp;M3,汇编指令!$C$2:$D$235,2,FALSE),"-1")</f>
        <v>-1</v>
      </c>
      <c r="N73" s="33" t="str">
        <f>_xlfn.IFNA(VLOOKUP($C73&amp;","&amp;N3,汇编指令!$C$2:$D$235,2,FALSE),"-1")</f>
        <v>76</v>
      </c>
      <c r="O73" s="33" t="str">
        <f>_xlfn.IFNA(VLOOKUP($C73&amp;","&amp;O3,汇编指令!$C$2:$D$235,2,FALSE),"-1")</f>
        <v>A6</v>
      </c>
      <c r="P73" s="32" t="str">
        <f>_xlfn.IFNA(VLOOKUP($C73&amp;","&amp;P3,汇编指令!$C$2:$D$235,2,FALSE),"-1")</f>
        <v>-1</v>
      </c>
      <c r="Q73" s="32" t="str">
        <f>_xlfn.IFNA(VLOOKUP($C73&amp;","&amp;Q3,汇编指令!$C$2:$D$235,2,FALSE),"-1")</f>
        <v>-1</v>
      </c>
      <c r="R73" s="32" t="str">
        <f>_xlfn.IFNA(VLOOKUP($C73&amp;","&amp;R3,汇编指令!$C$2:$D$235,2,FALSE),"-1")</f>
        <v>-1</v>
      </c>
      <c r="S73" s="32" t="str">
        <f>_xlfn.IFNA(VLOOKUP($C73&amp;","&amp;S3,汇编指令!$C$2:$D$235,2,FALSE),"-1")</f>
        <v>-1</v>
      </c>
      <c r="T73" s="32" t="str">
        <f>_xlfn.IFNA(VLOOKUP($C73&amp;","&amp;T3,汇编指令!$C$2:$D$235,2,FALSE),"-1")</f>
        <v>-1</v>
      </c>
      <c r="U73" s="32" t="str">
        <f>_xlfn.IFNA(VLOOKUP($C73&amp;","&amp;U3,汇编指令!$C$2:$D$235,2,FALSE),"-1")</f>
        <v>-1</v>
      </c>
      <c r="V73" s="32" t="str">
        <f>_xlfn.IFNA(VLOOKUP($C73&amp;","&amp;V3,汇编指令!$C$2:$D$235,2,FALSE),"-1")</f>
        <v>-1</v>
      </c>
      <c r="W73" s="32" t="str">
        <f>_xlfn.IFNA(VLOOKUP($C73&amp;","&amp;W3,汇编指令!$C$2:$D$235,2,FALSE),"-1")</f>
        <v>-1</v>
      </c>
      <c r="X73" s="32" t="str">
        <f>_xlfn.IFNA(VLOOKUP($C73&amp;","&amp;X3,汇编指令!$C$2:$D$235,2,FALSE),"-1")</f>
        <v>-1</v>
      </c>
      <c r="Y73" s="32" t="str">
        <f>_xlfn.IFNA(VLOOKUP($C73&amp;","&amp;Y3,汇编指令!$C$2:$D$235,2,FALSE),"-1")</f>
        <v>-1</v>
      </c>
      <c r="Z73" s="32" t="str">
        <f>_xlfn.IFNA(VLOOKUP($C73&amp;","&amp;Z3,汇编指令!$C$2:$D$235,2,FALSE),"-1")</f>
        <v>-1</v>
      </c>
      <c r="AA73" s="32" t="str">
        <f>_xlfn.IFNA(VLOOKUP($C73&amp;","&amp;AA3,汇编指令!$C$2:$D$235,2,FALSE),"-1")</f>
        <v>-1</v>
      </c>
      <c r="AB73" s="53" t="str">
        <f>_xlfn.IFNA(VLOOKUP($C73&amp;","&amp;AB3,汇编指令!$C$2:$D$235,2,FALSE),"-1")</f>
        <v>-1</v>
      </c>
      <c r="AC73" s="55"/>
    </row>
    <row r="74" s="7" customFormat="1" ht="20" customHeight="1" spans="1:29">
      <c r="A74" s="16">
        <v>2</v>
      </c>
      <c r="B74" s="21">
        <f t="shared" si="12"/>
        <v>70</v>
      </c>
      <c r="C74" s="24" t="s">
        <v>989</v>
      </c>
      <c r="D74" s="23" t="str">
        <f t="shared" si="10"/>
        <v>46</v>
      </c>
      <c r="E74" s="31" t="str">
        <f>_xlfn.IFNA(VLOOKUP($C74&amp;","&amp;E3,汇编指令!$C$2:$D$235,2,FALSE),"-1")</f>
        <v>F7</v>
      </c>
      <c r="F74" s="32" t="str">
        <f>_xlfn.IFNA(VLOOKUP($C74&amp;","&amp;F3,汇编指令!$C$2:$D$235,2,FALSE),"-1")</f>
        <v>-1</v>
      </c>
      <c r="G74" s="32" t="str">
        <f>_xlfn.IFNA(VLOOKUP($C74&amp;","&amp;G3,汇编指令!$C$2:$D$235,2,FALSE),"-1")</f>
        <v>-1</v>
      </c>
      <c r="H74" s="32" t="str">
        <f>_xlfn.IFNA(VLOOKUP($C74&amp;","&amp;H3,汇编指令!$C$2:$D$235,2,FALSE),"-1")</f>
        <v>-1</v>
      </c>
      <c r="I74" s="32" t="str">
        <f>_xlfn.IFNA(VLOOKUP($C74&amp;","&amp;I3,汇编指令!$C$2:$D$235,2,FALSE),"-1")</f>
        <v>-1</v>
      </c>
      <c r="J74" s="32" t="str">
        <f>_xlfn.IFNA(VLOOKUP($C74&amp;","&amp;J3,汇编指令!$C$2:$D$235,2,FALSE),"-1")</f>
        <v>-1</v>
      </c>
      <c r="K74" s="32" t="str">
        <f>_xlfn.IFNA(VLOOKUP($C74&amp;","&amp;K3,汇编指令!$C$2:$D$235,2,FALSE),"-1")</f>
        <v>-1</v>
      </c>
      <c r="L74" s="32" t="str">
        <f>_xlfn.IFNA(VLOOKUP($C74&amp;","&amp;L3,汇编指令!$C$2:$D$235,2,FALSE),"-1")</f>
        <v>-1</v>
      </c>
      <c r="M74" s="32" t="str">
        <f>_xlfn.IFNA(VLOOKUP($C74&amp;","&amp;M3,汇编指令!$C$2:$D$235,2,FALSE),"-1")</f>
        <v>-1</v>
      </c>
      <c r="N74" s="33" t="str">
        <f>_xlfn.IFNA(VLOOKUP($C74&amp;","&amp;N3,汇编指令!$C$2:$D$235,2,FALSE),"-1")</f>
        <v>77</v>
      </c>
      <c r="O74" s="33" t="str">
        <f>_xlfn.IFNA(VLOOKUP($C74&amp;","&amp;O3,汇编指令!$C$2:$D$235,2,FALSE),"-1")</f>
        <v>A7</v>
      </c>
      <c r="P74" s="32" t="str">
        <f>_xlfn.IFNA(VLOOKUP($C74&amp;","&amp;P3,汇编指令!$C$2:$D$235,2,FALSE),"-1")</f>
        <v>-1</v>
      </c>
      <c r="Q74" s="32" t="str">
        <f>_xlfn.IFNA(VLOOKUP($C74&amp;","&amp;Q3,汇编指令!$C$2:$D$235,2,FALSE),"-1")</f>
        <v>-1</v>
      </c>
      <c r="R74" s="32" t="str">
        <f>_xlfn.IFNA(VLOOKUP($C74&amp;","&amp;R3,汇编指令!$C$2:$D$235,2,FALSE),"-1")</f>
        <v>-1</v>
      </c>
      <c r="S74" s="32" t="str">
        <f>_xlfn.IFNA(VLOOKUP($C74&amp;","&amp;S3,汇编指令!$C$2:$D$235,2,FALSE),"-1")</f>
        <v>-1</v>
      </c>
      <c r="T74" s="32" t="str">
        <f>_xlfn.IFNA(VLOOKUP($C74&amp;","&amp;T3,汇编指令!$C$2:$D$235,2,FALSE),"-1")</f>
        <v>-1</v>
      </c>
      <c r="U74" s="32" t="str">
        <f>_xlfn.IFNA(VLOOKUP($C74&amp;","&amp;U3,汇编指令!$C$2:$D$235,2,FALSE),"-1")</f>
        <v>-1</v>
      </c>
      <c r="V74" s="32" t="str">
        <f>_xlfn.IFNA(VLOOKUP($C74&amp;","&amp;V3,汇编指令!$C$2:$D$235,2,FALSE),"-1")</f>
        <v>-1</v>
      </c>
      <c r="W74" s="32" t="str">
        <f>_xlfn.IFNA(VLOOKUP($C74&amp;","&amp;W3,汇编指令!$C$2:$D$235,2,FALSE),"-1")</f>
        <v>-1</v>
      </c>
      <c r="X74" s="32" t="str">
        <f>_xlfn.IFNA(VLOOKUP($C74&amp;","&amp;X3,汇编指令!$C$2:$D$235,2,FALSE),"-1")</f>
        <v>-1</v>
      </c>
      <c r="Y74" s="32" t="str">
        <f>_xlfn.IFNA(VLOOKUP($C74&amp;","&amp;Y3,汇编指令!$C$2:$D$235,2,FALSE),"-1")</f>
        <v>-1</v>
      </c>
      <c r="Z74" s="32" t="str">
        <f>_xlfn.IFNA(VLOOKUP($C74&amp;","&amp;Z3,汇编指令!$C$2:$D$235,2,FALSE),"-1")</f>
        <v>-1</v>
      </c>
      <c r="AA74" s="32" t="str">
        <f>_xlfn.IFNA(VLOOKUP($C74&amp;","&amp;AA3,汇编指令!$C$2:$D$235,2,FALSE),"-1")</f>
        <v>-1</v>
      </c>
      <c r="AB74" s="53" t="str">
        <f>_xlfn.IFNA(VLOOKUP($C74&amp;","&amp;AB3,汇编指令!$C$2:$D$235,2,FALSE),"-1")</f>
        <v>-1</v>
      </c>
      <c r="AC74" s="55"/>
    </row>
    <row r="75" s="7" customFormat="1" ht="20" customHeight="1" spans="1:29">
      <c r="A75" s="16">
        <v>2</v>
      </c>
      <c r="B75" s="21">
        <f t="shared" si="12"/>
        <v>71</v>
      </c>
      <c r="C75" s="24" t="s">
        <v>990</v>
      </c>
      <c r="D75" s="23" t="str">
        <f t="shared" si="10"/>
        <v>47</v>
      </c>
      <c r="E75" s="34" t="str">
        <f>_xlfn.IFNA(VLOOKUP($C75&amp;","&amp;E3,汇编指令!$C$2:$D$235,2,FALSE),"-1")</f>
        <v>-1</v>
      </c>
      <c r="F75" s="33" t="str">
        <f>_xlfn.IFNA(VLOOKUP($C75&amp;","&amp;F3,汇编指令!$C$2:$D$235,2,FALSE),"-1")</f>
        <v>E8</v>
      </c>
      <c r="G75" s="33" t="str">
        <f>_xlfn.IFNA(VLOOKUP($C75&amp;","&amp;G3,汇编指令!$C$2:$D$235,2,FALSE),"-1")</f>
        <v>E9</v>
      </c>
      <c r="H75" s="33" t="str">
        <f>_xlfn.IFNA(VLOOKUP($C75&amp;","&amp;H3,汇编指令!$C$2:$D$235,2,FALSE),"-1")</f>
        <v>EA</v>
      </c>
      <c r="I75" s="33" t="str">
        <f>_xlfn.IFNA(VLOOKUP($C75&amp;","&amp;I3,汇编指令!$C$2:$D$235,2,FALSE),"-1")</f>
        <v>EB</v>
      </c>
      <c r="J75" s="33" t="str">
        <f>_xlfn.IFNA(VLOOKUP($C75&amp;","&amp;J3,汇编指令!$C$2:$D$235,2,FALSE),"-1")</f>
        <v>EC</v>
      </c>
      <c r="K75" s="33" t="str">
        <f>_xlfn.IFNA(VLOOKUP($C75&amp;","&amp;K3,汇编指令!$C$2:$D$235,2,FALSE),"-1")</f>
        <v>ED</v>
      </c>
      <c r="L75" s="33" t="str">
        <f>_xlfn.IFNA(VLOOKUP($C75&amp;","&amp;L3,汇编指令!$C$2:$D$235,2,FALSE),"-1")</f>
        <v>EE</v>
      </c>
      <c r="M75" s="33" t="str">
        <f>_xlfn.IFNA(VLOOKUP($C75&amp;","&amp;M3,汇编指令!$C$2:$D$235,2,FALSE),"-1")</f>
        <v>EF</v>
      </c>
      <c r="N75" s="33" t="str">
        <f>_xlfn.IFNA(VLOOKUP($C75&amp;","&amp;N3,汇编指令!$C$2:$D$235,2,FALSE),"-1")</f>
        <v>74</v>
      </c>
      <c r="O75" s="33" t="str">
        <f>_xlfn.IFNA(VLOOKUP($C75&amp;","&amp;O3,汇编指令!$C$2:$D$235,2,FALSE),"-1")</f>
        <v>E5</v>
      </c>
      <c r="P75" s="33" t="str">
        <f>_xlfn.IFNA(VLOOKUP($C75&amp;","&amp;P3,汇编指令!$C$2:$D$235,2,FALSE),"-1")</f>
        <v>E6</v>
      </c>
      <c r="Q75" s="33" t="str">
        <f>_xlfn.IFNA(VLOOKUP($C75&amp;","&amp;Q3,汇编指令!$C$2:$D$235,2,FALSE),"-1")</f>
        <v>E7</v>
      </c>
      <c r="R75" s="32" t="str">
        <f>_xlfn.IFNA(VLOOKUP($C75&amp;","&amp;R3,汇编指令!$C$2:$D$235,2,FALSE),"-1")</f>
        <v>-1</v>
      </c>
      <c r="S75" s="32" t="str">
        <f>_xlfn.IFNA(VLOOKUP($C75&amp;","&amp;S3,汇编指令!$C$2:$D$235,2,FALSE),"-1")</f>
        <v>-1</v>
      </c>
      <c r="T75" s="32" t="str">
        <f>_xlfn.IFNA(VLOOKUP($C75&amp;","&amp;T3,汇编指令!$C$2:$D$235,2,FALSE),"-1")</f>
        <v>-1</v>
      </c>
      <c r="U75" s="32" t="str">
        <f>_xlfn.IFNA(VLOOKUP($C75&amp;","&amp;U3,汇编指令!$C$2:$D$235,2,FALSE),"-1")</f>
        <v>-1</v>
      </c>
      <c r="V75" s="32" t="str">
        <f>_xlfn.IFNA(VLOOKUP($C75&amp;","&amp;V3,汇编指令!$C$2:$D$235,2,FALSE),"-1")</f>
        <v>-1</v>
      </c>
      <c r="W75" s="32" t="str">
        <f>_xlfn.IFNA(VLOOKUP($C75&amp;","&amp;W3,汇编指令!$C$2:$D$235,2,FALSE),"-1")</f>
        <v>-1</v>
      </c>
      <c r="X75" s="32" t="str">
        <f>_xlfn.IFNA(VLOOKUP($C75&amp;","&amp;X3,汇编指令!$C$2:$D$235,2,FALSE),"-1")</f>
        <v>-1</v>
      </c>
      <c r="Y75" s="32" t="str">
        <f>_xlfn.IFNA(VLOOKUP($C75&amp;","&amp;Y3,汇编指令!$C$2:$D$235,2,FALSE),"-1")</f>
        <v>-1</v>
      </c>
      <c r="Z75" s="32" t="str">
        <f>_xlfn.IFNA(VLOOKUP($C75&amp;","&amp;Z3,汇编指令!$C$2:$D$235,2,FALSE),"-1")</f>
        <v>-1</v>
      </c>
      <c r="AA75" s="32" t="str">
        <f>_xlfn.IFNA(VLOOKUP($C75&amp;","&amp;AA3,汇编指令!$C$2:$D$235,2,FALSE),"-1")</f>
        <v>-1</v>
      </c>
      <c r="AB75" s="53" t="str">
        <f>_xlfn.IFNA(VLOOKUP($C75&amp;","&amp;AB3,汇编指令!$C$2:$D$235,2,FALSE),"-1")</f>
        <v>-1</v>
      </c>
      <c r="AC75" s="55"/>
    </row>
    <row r="76" s="7" customFormat="1" ht="20" customHeight="1" spans="1:29">
      <c r="A76" s="16">
        <v>2</v>
      </c>
      <c r="B76" s="21">
        <f t="shared" si="12"/>
        <v>72</v>
      </c>
      <c r="C76" s="24" t="s">
        <v>991</v>
      </c>
      <c r="D76" s="23" t="str">
        <f t="shared" si="10"/>
        <v>48</v>
      </c>
      <c r="E76" s="34" t="str">
        <f>_xlfn.IFNA(VLOOKUP($C76&amp;","&amp;E3,汇编指令!$C$2:$D$235,2,FALSE),"-1")</f>
        <v>-1</v>
      </c>
      <c r="F76" s="32" t="str">
        <f>_xlfn.IFNA(VLOOKUP($C76&amp;","&amp;F3,汇编指令!$C$2:$D$235,2,FALSE),"-1")</f>
        <v>-1</v>
      </c>
      <c r="G76" s="32" t="str">
        <f>_xlfn.IFNA(VLOOKUP($C76&amp;","&amp;G3,汇编指令!$C$2:$D$235,2,FALSE),"-1")</f>
        <v>-1</v>
      </c>
      <c r="H76" s="32" t="str">
        <f>_xlfn.IFNA(VLOOKUP($C76&amp;","&amp;H3,汇编指令!$C$2:$D$235,2,FALSE),"-1")</f>
        <v>-1</v>
      </c>
      <c r="I76" s="32" t="str">
        <f>_xlfn.IFNA(VLOOKUP($C76&amp;","&amp;I3,汇编指令!$C$2:$D$235,2,FALSE),"-1")</f>
        <v>-1</v>
      </c>
      <c r="J76" s="32" t="str">
        <f>_xlfn.IFNA(VLOOKUP($C76&amp;","&amp;J3,汇编指令!$C$2:$D$235,2,FALSE),"-1")</f>
        <v>-1</v>
      </c>
      <c r="K76" s="32" t="str">
        <f>_xlfn.IFNA(VLOOKUP($C76&amp;","&amp;K3,汇编指令!$C$2:$D$235,2,FALSE),"-1")</f>
        <v>-1</v>
      </c>
      <c r="L76" s="32" t="str">
        <f>_xlfn.IFNA(VLOOKUP($C76&amp;","&amp;L3,汇编指令!$C$2:$D$235,2,FALSE),"-1")</f>
        <v>-1</v>
      </c>
      <c r="M76" s="32" t="str">
        <f>_xlfn.IFNA(VLOOKUP($C76&amp;","&amp;M3,汇编指令!$C$2:$D$235,2,FALSE),"-1")</f>
        <v>-1</v>
      </c>
      <c r="N76" s="32" t="str">
        <f>_xlfn.IFNA(VLOOKUP($C76&amp;","&amp;N3,汇编指令!$C$2:$D$235,2,FALSE),"-1")</f>
        <v>-1</v>
      </c>
      <c r="O76" s="32" t="str">
        <f>_xlfn.IFNA(VLOOKUP($C76&amp;","&amp;O3,汇编指令!$C$2:$D$235,2,FALSE),"-1")</f>
        <v>-1</v>
      </c>
      <c r="P76" s="32" t="str">
        <f>_xlfn.IFNA(VLOOKUP($C76&amp;","&amp;P3,汇编指令!$C$2:$D$235,2,FALSE),"-1")</f>
        <v>-1</v>
      </c>
      <c r="Q76" s="32" t="str">
        <f>_xlfn.IFNA(VLOOKUP($C76&amp;","&amp;Q3,汇编指令!$C$2:$D$235,2,FALSE),"-1")</f>
        <v>-1</v>
      </c>
      <c r="R76" s="32" t="str">
        <f>_xlfn.IFNA(VLOOKUP($C76&amp;","&amp;R3,汇编指令!$C$2:$D$235,2,FALSE),"-1")</f>
        <v>-1</v>
      </c>
      <c r="S76" s="32" t="str">
        <f>_xlfn.IFNA(VLOOKUP($C76&amp;","&amp;S3,汇编指令!$C$2:$D$235,2,FALSE),"-1")</f>
        <v>-1</v>
      </c>
      <c r="T76" s="32" t="str">
        <f>_xlfn.IFNA(VLOOKUP($C76&amp;","&amp;T3,汇编指令!$C$2:$D$235,2,FALSE),"-1")</f>
        <v>-1</v>
      </c>
      <c r="U76" s="32" t="str">
        <f>_xlfn.IFNA(VLOOKUP($C76&amp;","&amp;U3,汇编指令!$C$2:$D$235,2,FALSE),"-1")</f>
        <v>-1</v>
      </c>
      <c r="V76" s="32" t="str">
        <f>_xlfn.IFNA(VLOOKUP($C76&amp;","&amp;V3,汇编指令!$C$2:$D$235,2,FALSE),"-1")</f>
        <v>-1</v>
      </c>
      <c r="W76" s="32" t="str">
        <f>_xlfn.IFNA(VLOOKUP($C76&amp;","&amp;W3,汇编指令!$C$2:$D$235,2,FALSE),"-1")</f>
        <v>-1</v>
      </c>
      <c r="X76" s="32" t="str">
        <f>_xlfn.IFNA(VLOOKUP($C76&amp;","&amp;X3,汇编指令!$C$2:$D$235,2,FALSE),"-1")</f>
        <v>-1</v>
      </c>
      <c r="Y76" s="32" t="str">
        <f>_xlfn.IFNA(VLOOKUP($C76&amp;","&amp;Y3,汇编指令!$C$2:$D$235,2,FALSE),"-1")</f>
        <v>-1</v>
      </c>
      <c r="Z76" s="33" t="str">
        <f>_xlfn.IFNA(VLOOKUP($C76&amp;","&amp;Z3,汇编指令!$C$2:$D$235,2,FALSE),"-1")</f>
        <v>92</v>
      </c>
      <c r="AA76" s="32" t="str">
        <f>_xlfn.IFNA(VLOOKUP($C76&amp;","&amp;AA3,汇编指令!$C$2:$D$235,2,FALSE),"-1")</f>
        <v>-1</v>
      </c>
      <c r="AB76" s="53" t="str">
        <f>_xlfn.IFNA(VLOOKUP($C76&amp;","&amp;AB3,汇编指令!$C$2:$D$235,2,FALSE),"-1")</f>
        <v>-1</v>
      </c>
      <c r="AC76" s="55"/>
    </row>
    <row r="77" s="7" customFormat="1" ht="20" customHeight="1" spans="1:29">
      <c r="A77" s="16">
        <v>2</v>
      </c>
      <c r="B77" s="21">
        <f t="shared" si="12"/>
        <v>73</v>
      </c>
      <c r="C77" s="24" t="s">
        <v>992</v>
      </c>
      <c r="D77" s="23" t="str">
        <f t="shared" si="10"/>
        <v>49</v>
      </c>
      <c r="E77" s="34" t="str">
        <f>_xlfn.IFNA(VLOOKUP($C77&amp;","&amp;E3,汇编指令!$C$2:$D$235,2,FALSE),"-1")</f>
        <v>-1</v>
      </c>
      <c r="F77" s="32" t="str">
        <f>_xlfn.IFNA(VLOOKUP($C77&amp;","&amp;F3,汇编指令!$C$2:$D$235,2,FALSE),"-1")</f>
        <v>-1</v>
      </c>
      <c r="G77" s="32" t="str">
        <f>_xlfn.IFNA(VLOOKUP($C77&amp;","&amp;G3,汇编指令!$C$2:$D$235,2,FALSE),"-1")</f>
        <v>-1</v>
      </c>
      <c r="H77" s="32" t="str">
        <f>_xlfn.IFNA(VLOOKUP($C77&amp;","&amp;H3,汇编指令!$C$2:$D$235,2,FALSE),"-1")</f>
        <v>-1</v>
      </c>
      <c r="I77" s="32" t="str">
        <f>_xlfn.IFNA(VLOOKUP($C77&amp;","&amp;I3,汇编指令!$C$2:$D$235,2,FALSE),"-1")</f>
        <v>-1</v>
      </c>
      <c r="J77" s="32" t="str">
        <f>_xlfn.IFNA(VLOOKUP($C77&amp;","&amp;J3,汇编指令!$C$2:$D$235,2,FALSE),"-1")</f>
        <v>-1</v>
      </c>
      <c r="K77" s="32" t="str">
        <f>_xlfn.IFNA(VLOOKUP($C77&amp;","&amp;K3,汇编指令!$C$2:$D$235,2,FALSE),"-1")</f>
        <v>-1</v>
      </c>
      <c r="L77" s="32" t="str">
        <f>_xlfn.IFNA(VLOOKUP($C77&amp;","&amp;L3,汇编指令!$C$2:$D$235,2,FALSE),"-1")</f>
        <v>-1</v>
      </c>
      <c r="M77" s="32" t="str">
        <f>_xlfn.IFNA(VLOOKUP($C77&amp;","&amp;M3,汇编指令!$C$2:$D$235,2,FALSE),"-1")</f>
        <v>-1</v>
      </c>
      <c r="N77" s="32" t="str">
        <f>_xlfn.IFNA(VLOOKUP($C77&amp;","&amp;N3,汇编指令!$C$2:$D$235,2,FALSE),"-1")</f>
        <v>-1</v>
      </c>
      <c r="O77" s="32" t="str">
        <f>_xlfn.IFNA(VLOOKUP($C77&amp;","&amp;O3,汇编指令!$C$2:$D$235,2,FALSE),"-1")</f>
        <v>-1</v>
      </c>
      <c r="P77" s="32" t="str">
        <f>_xlfn.IFNA(VLOOKUP($C77&amp;","&amp;P3,汇编指令!$C$2:$D$235,2,FALSE),"-1")</f>
        <v>-1</v>
      </c>
      <c r="Q77" s="32" t="str">
        <f>_xlfn.IFNA(VLOOKUP($C77&amp;","&amp;Q3,汇编指令!$C$2:$D$235,2,FALSE),"-1")</f>
        <v>-1</v>
      </c>
      <c r="R77" s="32" t="str">
        <f>_xlfn.IFNA(VLOOKUP($C77&amp;","&amp;R3,汇编指令!$C$2:$D$235,2,FALSE),"-1")</f>
        <v>-1</v>
      </c>
      <c r="S77" s="32" t="str">
        <f>_xlfn.IFNA(VLOOKUP($C77&amp;","&amp;S3,汇编指令!$C$2:$D$235,2,FALSE),"-1")</f>
        <v>-1</v>
      </c>
      <c r="T77" s="32" t="str">
        <f>_xlfn.IFNA(VLOOKUP($C77&amp;","&amp;T3,汇编指令!$C$2:$D$235,2,FALSE),"-1")</f>
        <v>-1</v>
      </c>
      <c r="U77" s="32" t="str">
        <f>_xlfn.IFNA(VLOOKUP($C77&amp;","&amp;U3,汇编指令!$C$2:$D$235,2,FALSE),"-1")</f>
        <v>-1</v>
      </c>
      <c r="V77" s="32" t="str">
        <f>_xlfn.IFNA(VLOOKUP($C77&amp;","&amp;V3,汇编指令!$C$2:$D$235,2,FALSE),"-1")</f>
        <v>-1</v>
      </c>
      <c r="W77" s="32" t="str">
        <f>_xlfn.IFNA(VLOOKUP($C77&amp;","&amp;W3,汇编指令!$C$2:$D$235,2,FALSE),"-1")</f>
        <v>-1</v>
      </c>
      <c r="X77" s="32" t="str">
        <f>_xlfn.IFNA(VLOOKUP($C77&amp;","&amp;X3,汇编指令!$C$2:$D$235,2,FALSE),"-1")</f>
        <v>-1</v>
      </c>
      <c r="Y77" s="33" t="str">
        <f>_xlfn.IFNA(VLOOKUP($C77&amp;","&amp;Y3,汇编指令!$C$2:$D$235,2,FALSE),"-1")</f>
        <v>A2</v>
      </c>
      <c r="Z77" s="32" t="str">
        <f>_xlfn.IFNA(VLOOKUP($C77&amp;","&amp;Z3,汇编指令!$C$2:$D$235,2,FALSE),"-1")</f>
        <v>-1</v>
      </c>
      <c r="AA77" s="32" t="str">
        <f>_xlfn.IFNA(VLOOKUP($C77&amp;","&amp;AA3,汇编指令!$C$2:$D$235,2,FALSE),"-1")</f>
        <v>-1</v>
      </c>
      <c r="AB77" s="53" t="str">
        <f>_xlfn.IFNA(VLOOKUP($C77&amp;","&amp;AB3,汇编指令!$C$2:$D$235,2,FALSE),"-1")</f>
        <v>-1</v>
      </c>
      <c r="AC77" s="55"/>
    </row>
    <row r="78" s="7" customFormat="1" ht="20" customHeight="1" spans="1:29">
      <c r="A78" s="16">
        <v>2</v>
      </c>
      <c r="B78" s="21">
        <f t="shared" ref="B78:B87" si="13">ROW()-4</f>
        <v>74</v>
      </c>
      <c r="C78" s="24" t="s">
        <v>993</v>
      </c>
      <c r="D78" s="23" t="str">
        <f t="shared" si="10"/>
        <v>4A</v>
      </c>
      <c r="E78" s="31" t="str">
        <f>_xlfn.IFNA(VLOOKUP($C78&amp;","&amp;E3,汇编指令!$C$2:$D$235,2,FALSE),"-1")</f>
        <v>F5</v>
      </c>
      <c r="F78" s="33" t="str">
        <f>_xlfn.IFNA(VLOOKUP($C78&amp;","&amp;F3,汇编指令!$C$2:$D$235,2,FALSE),"-1")</f>
        <v>88</v>
      </c>
      <c r="G78" s="33" t="str">
        <f>_xlfn.IFNA(VLOOKUP($C78&amp;","&amp;G3,汇编指令!$C$2:$D$235,2,FALSE),"-1")</f>
        <v>89</v>
      </c>
      <c r="H78" s="33" t="str">
        <f>_xlfn.IFNA(VLOOKUP($C78&amp;","&amp;H3,汇编指令!$C$2:$D$235,2,FALSE),"-1")</f>
        <v>8A</v>
      </c>
      <c r="I78" s="33" t="str">
        <f>_xlfn.IFNA(VLOOKUP($C78&amp;","&amp;I3,汇编指令!$C$2:$D$235,2,FALSE),"-1")</f>
        <v>8B</v>
      </c>
      <c r="J78" s="33" t="str">
        <f>_xlfn.IFNA(VLOOKUP($C78&amp;","&amp;J3,汇编指令!$C$2:$D$235,2,FALSE),"-1")</f>
        <v>8C</v>
      </c>
      <c r="K78" s="33" t="str">
        <f>_xlfn.IFNA(VLOOKUP($C78&amp;","&amp;K3,汇编指令!$C$2:$D$235,2,FALSE),"-1")</f>
        <v>8D</v>
      </c>
      <c r="L78" s="33" t="str">
        <f>_xlfn.IFNA(VLOOKUP($C78&amp;","&amp;L3,汇编指令!$C$2:$D$235,2,FALSE),"-1")</f>
        <v>8E</v>
      </c>
      <c r="M78" s="33" t="str">
        <f>_xlfn.IFNA(VLOOKUP($C78&amp;","&amp;M3,汇编指令!$C$2:$D$235,2,FALSE),"-1")</f>
        <v>8F</v>
      </c>
      <c r="N78" s="33" t="str">
        <f>_xlfn.IFNA(VLOOKUP($C78&amp;","&amp;N3,汇编指令!$C$2:$D$235,2,FALSE),"-1")</f>
        <v>75</v>
      </c>
      <c r="O78" s="33" t="str">
        <f>_xlfn.IFNA(VLOOKUP($C78&amp;","&amp;O3,汇编指令!$C$2:$D$235,2,FALSE),"-1")</f>
        <v>85</v>
      </c>
      <c r="P78" s="33" t="str">
        <f>_xlfn.IFNA(VLOOKUP($C78&amp;","&amp;P3,汇编指令!$C$2:$D$235,2,FALSE),"-1")</f>
        <v>86</v>
      </c>
      <c r="Q78" s="33" t="str">
        <f>_xlfn.IFNA(VLOOKUP($C78&amp;","&amp;Q3,汇编指令!$C$2:$D$235,2,FALSE),"-1")</f>
        <v>87</v>
      </c>
      <c r="R78" s="32" t="str">
        <f>_xlfn.IFNA(VLOOKUP($C78&amp;","&amp;R3,汇编指令!$C$2:$D$235,2,FALSE),"-1")</f>
        <v>-1</v>
      </c>
      <c r="S78" s="32" t="str">
        <f>_xlfn.IFNA(VLOOKUP($C78&amp;","&amp;S3,汇编指令!$C$2:$D$235,2,FALSE),"-1")</f>
        <v>-1</v>
      </c>
      <c r="T78" s="32" t="str">
        <f>_xlfn.IFNA(VLOOKUP($C78&amp;","&amp;T3,汇编指令!$C$2:$D$235,2,FALSE),"-1")</f>
        <v>-1</v>
      </c>
      <c r="U78" s="32" t="str">
        <f>_xlfn.IFNA(VLOOKUP($C78&amp;","&amp;U3,汇编指令!$C$2:$D$235,2,FALSE),"-1")</f>
        <v>-1</v>
      </c>
      <c r="V78" s="32" t="str">
        <f>_xlfn.IFNA(VLOOKUP($C78&amp;","&amp;V3,汇编指令!$C$2:$D$235,2,FALSE),"-1")</f>
        <v>-1</v>
      </c>
      <c r="W78" s="32" t="str">
        <f>_xlfn.IFNA(VLOOKUP($C78&amp;","&amp;W3,汇编指令!$C$2:$D$235,2,FALSE),"-1")</f>
        <v>-1</v>
      </c>
      <c r="X78" s="32" t="str">
        <f>_xlfn.IFNA(VLOOKUP($C78&amp;","&amp;X3,汇编指令!$C$2:$D$235,2,FALSE),"-1")</f>
        <v>-1</v>
      </c>
      <c r="Y78" s="32" t="str">
        <f>_xlfn.IFNA(VLOOKUP($C78&amp;","&amp;Y3,汇编指令!$C$2:$D$235,2,FALSE),"-1")</f>
        <v>-1</v>
      </c>
      <c r="Z78" s="32" t="str">
        <f>_xlfn.IFNA(VLOOKUP($C78&amp;","&amp;Z3,汇编指令!$C$2:$D$235,2,FALSE),"-1")</f>
        <v>-1</v>
      </c>
      <c r="AA78" s="32" t="str">
        <f>_xlfn.IFNA(VLOOKUP($C78&amp;","&amp;AA3,汇编指令!$C$2:$D$235,2,FALSE),"-1")</f>
        <v>-1</v>
      </c>
      <c r="AB78" s="53" t="str">
        <f>_xlfn.IFNA(VLOOKUP($C78&amp;","&amp;AB3,汇编指令!$C$2:$D$235,2,FALSE),"-1")</f>
        <v>-1</v>
      </c>
      <c r="AC78" s="55"/>
    </row>
    <row r="79" s="7" customFormat="1" ht="20" customHeight="1" spans="1:29">
      <c r="A79" s="16">
        <v>2</v>
      </c>
      <c r="B79" s="21">
        <f t="shared" si="13"/>
        <v>75</v>
      </c>
      <c r="C79" s="24" t="s">
        <v>994</v>
      </c>
      <c r="D79" s="23" t="str">
        <f t="shared" si="10"/>
        <v>4B</v>
      </c>
      <c r="E79" s="34" t="str">
        <f>_xlfn.IFNA(VLOOKUP($C79&amp;","&amp;E3,汇编指令!$C$2:$D$235,2,FALSE),"-1")</f>
        <v>-1</v>
      </c>
      <c r="F79" s="32" t="str">
        <f>_xlfn.IFNA(VLOOKUP($C79&amp;","&amp;F3,汇编指令!$C$2:$D$235,2,FALSE),"-1")</f>
        <v>-1</v>
      </c>
      <c r="G79" s="32" t="str">
        <f>_xlfn.IFNA(VLOOKUP($C79&amp;","&amp;G3,汇编指令!$C$2:$D$235,2,FALSE),"-1")</f>
        <v>-1</v>
      </c>
      <c r="H79" s="32" t="str">
        <f>_xlfn.IFNA(VLOOKUP($C79&amp;","&amp;H3,汇编指令!$C$2:$D$235,2,FALSE),"-1")</f>
        <v>-1</v>
      </c>
      <c r="I79" s="32" t="str">
        <f>_xlfn.IFNA(VLOOKUP($C79&amp;","&amp;I3,汇编指令!$C$2:$D$235,2,FALSE),"-1")</f>
        <v>-1</v>
      </c>
      <c r="J79" s="32" t="str">
        <f>_xlfn.IFNA(VLOOKUP($C79&amp;","&amp;J3,汇编指令!$C$2:$D$235,2,FALSE),"-1")</f>
        <v>-1</v>
      </c>
      <c r="K79" s="32" t="str">
        <f>_xlfn.IFNA(VLOOKUP($C79&amp;","&amp;K3,汇编指令!$C$2:$D$235,2,FALSE),"-1")</f>
        <v>-1</v>
      </c>
      <c r="L79" s="32" t="str">
        <f>_xlfn.IFNA(VLOOKUP($C79&amp;","&amp;L3,汇编指令!$C$2:$D$235,2,FALSE),"-1")</f>
        <v>-1</v>
      </c>
      <c r="M79" s="32" t="str">
        <f>_xlfn.IFNA(VLOOKUP($C79&amp;","&amp;M3,汇编指令!$C$2:$D$235,2,FALSE),"-1")</f>
        <v>-1</v>
      </c>
      <c r="N79" s="32" t="str">
        <f>_xlfn.IFNA(VLOOKUP($C79&amp;","&amp;N3,汇编指令!$C$2:$D$235,2,FALSE),"-1")</f>
        <v>-1</v>
      </c>
      <c r="O79" s="32" t="str">
        <f>_xlfn.IFNA(VLOOKUP($C79&amp;","&amp;O3,汇编指令!$C$2:$D$235,2,FALSE),"-1")</f>
        <v>-1</v>
      </c>
      <c r="P79" s="32" t="str">
        <f>_xlfn.IFNA(VLOOKUP($C79&amp;","&amp;P3,汇编指令!$C$2:$D$235,2,FALSE),"-1")</f>
        <v>-1</v>
      </c>
      <c r="Q79" s="32" t="str">
        <f>_xlfn.IFNA(VLOOKUP($C79&amp;","&amp;Q3,汇编指令!$C$2:$D$235,2,FALSE),"-1")</f>
        <v>-1</v>
      </c>
      <c r="R79" s="32" t="str">
        <f>_xlfn.IFNA(VLOOKUP($C79&amp;","&amp;R3,汇编指令!$C$2:$D$235,2,FALSE),"-1")</f>
        <v>-1</v>
      </c>
      <c r="S79" s="33" t="str">
        <f>_xlfn.IFNA(VLOOKUP($C79&amp;","&amp;S3,汇编指令!$C$2:$D$235,2,FALSE),"-1")</f>
        <v>90</v>
      </c>
      <c r="T79" s="32" t="str">
        <f>_xlfn.IFNA(VLOOKUP($C79&amp;","&amp;T3,汇编指令!$C$2:$D$235,2,FALSE),"-1")</f>
        <v>-1</v>
      </c>
      <c r="U79" s="32" t="str">
        <f>_xlfn.IFNA(VLOOKUP($C79&amp;","&amp;U3,汇编指令!$C$2:$D$235,2,FALSE),"-1")</f>
        <v>-1</v>
      </c>
      <c r="V79" s="32" t="str">
        <f>_xlfn.IFNA(VLOOKUP($C79&amp;","&amp;V3,汇编指令!$C$2:$D$235,2,FALSE),"-1")</f>
        <v>-1</v>
      </c>
      <c r="W79" s="32" t="str">
        <f>_xlfn.IFNA(VLOOKUP($C79&amp;","&amp;W3,汇编指令!$C$2:$D$235,2,FALSE),"-1")</f>
        <v>-1</v>
      </c>
      <c r="X79" s="32" t="str">
        <f>_xlfn.IFNA(VLOOKUP($C79&amp;","&amp;X3,汇编指令!$C$2:$D$235,2,FALSE),"-1")</f>
        <v>-1</v>
      </c>
      <c r="Y79" s="32" t="str">
        <f>_xlfn.IFNA(VLOOKUP($C79&amp;","&amp;Y3,汇编指令!$C$2:$D$235,2,FALSE),"-1")</f>
        <v>-1</v>
      </c>
      <c r="Z79" s="32" t="str">
        <f>_xlfn.IFNA(VLOOKUP($C79&amp;","&amp;Z3,汇编指令!$C$2:$D$235,2,FALSE),"-1")</f>
        <v>-1</v>
      </c>
      <c r="AA79" s="32" t="str">
        <f>_xlfn.IFNA(VLOOKUP($C79&amp;","&amp;AA3,汇编指令!$C$2:$D$235,2,FALSE),"-1")</f>
        <v>-1</v>
      </c>
      <c r="AB79" s="53" t="str">
        <f>_xlfn.IFNA(VLOOKUP($C79&amp;","&amp;AB3,汇编指令!$C$2:$D$235,2,FALSE),"-1")</f>
        <v>-1</v>
      </c>
      <c r="AC79" s="55"/>
    </row>
    <row r="80" s="7" customFormat="1" ht="20" customHeight="1" spans="1:29">
      <c r="A80" s="16">
        <v>2</v>
      </c>
      <c r="B80" s="21">
        <f t="shared" si="13"/>
        <v>76</v>
      </c>
      <c r="C80" s="24" t="s">
        <v>995</v>
      </c>
      <c r="D80" s="23" t="str">
        <f t="shared" si="10"/>
        <v>4C</v>
      </c>
      <c r="E80" s="31" t="str">
        <f>_xlfn.IFNA(VLOOKUP($C80&amp;","&amp;E3,汇编指令!$C$2:$D$235,2,FALSE),"-1")</f>
        <v>F8</v>
      </c>
      <c r="F80" s="32" t="str">
        <f>_xlfn.IFNA(VLOOKUP($C80&amp;","&amp;F3,汇编指令!$C$2:$D$235,2,FALSE),"-1")</f>
        <v>-1</v>
      </c>
      <c r="G80" s="32" t="str">
        <f>_xlfn.IFNA(VLOOKUP($C80&amp;","&amp;G3,汇编指令!$C$2:$D$235,2,FALSE),"-1")</f>
        <v>-1</v>
      </c>
      <c r="H80" s="32" t="str">
        <f>_xlfn.IFNA(VLOOKUP($C80&amp;","&amp;H3,汇编指令!$C$2:$D$235,2,FALSE),"-1")</f>
        <v>-1</v>
      </c>
      <c r="I80" s="32" t="str">
        <f>_xlfn.IFNA(VLOOKUP($C80&amp;","&amp;I3,汇编指令!$C$2:$D$235,2,FALSE),"-1")</f>
        <v>-1</v>
      </c>
      <c r="J80" s="32" t="str">
        <f>_xlfn.IFNA(VLOOKUP($C80&amp;","&amp;J3,汇编指令!$C$2:$D$235,2,FALSE),"-1")</f>
        <v>-1</v>
      </c>
      <c r="K80" s="32" t="str">
        <f>_xlfn.IFNA(VLOOKUP($C80&amp;","&amp;K3,汇编指令!$C$2:$D$235,2,FALSE),"-1")</f>
        <v>-1</v>
      </c>
      <c r="L80" s="32" t="str">
        <f>_xlfn.IFNA(VLOOKUP($C80&amp;","&amp;L3,汇编指令!$C$2:$D$235,2,FALSE),"-1")</f>
        <v>-1</v>
      </c>
      <c r="M80" s="32" t="str">
        <f>_xlfn.IFNA(VLOOKUP($C80&amp;","&amp;M3,汇编指令!$C$2:$D$235,2,FALSE),"-1")</f>
        <v>-1</v>
      </c>
      <c r="N80" s="33" t="str">
        <f>_xlfn.IFNA(VLOOKUP($C80&amp;","&amp;N3,汇编指令!$C$2:$D$235,2,FALSE),"-1")</f>
        <v>78</v>
      </c>
      <c r="O80" s="33" t="str">
        <f>_xlfn.IFNA(VLOOKUP($C80&amp;","&amp;O3,汇编指令!$C$2:$D$235,2,FALSE),"-1")</f>
        <v>A8</v>
      </c>
      <c r="P80" s="32" t="str">
        <f>_xlfn.IFNA(VLOOKUP($C80&amp;","&amp;P3,汇编指令!$C$2:$D$235,2,FALSE),"-1")</f>
        <v>-1</v>
      </c>
      <c r="Q80" s="32" t="str">
        <f>_xlfn.IFNA(VLOOKUP($C80&amp;","&amp;Q3,汇编指令!$C$2:$D$235,2,FALSE),"-1")</f>
        <v>-1</v>
      </c>
      <c r="R80" s="32" t="str">
        <f>_xlfn.IFNA(VLOOKUP($C80&amp;","&amp;R3,汇编指令!$C$2:$D$235,2,FALSE),"-1")</f>
        <v>-1</v>
      </c>
      <c r="S80" s="32" t="str">
        <f>_xlfn.IFNA(VLOOKUP($C80&amp;","&amp;S3,汇编指令!$C$2:$D$235,2,FALSE),"-1")</f>
        <v>-1</v>
      </c>
      <c r="T80" s="32" t="str">
        <f>_xlfn.IFNA(VLOOKUP($C80&amp;","&amp;T3,汇编指令!$C$2:$D$235,2,FALSE),"-1")</f>
        <v>-1</v>
      </c>
      <c r="U80" s="32" t="str">
        <f>_xlfn.IFNA(VLOOKUP($C80&amp;","&amp;U3,汇编指令!$C$2:$D$235,2,FALSE),"-1")</f>
        <v>-1</v>
      </c>
      <c r="V80" s="32" t="str">
        <f>_xlfn.IFNA(VLOOKUP($C80&amp;","&amp;V3,汇编指令!$C$2:$D$235,2,FALSE),"-1")</f>
        <v>-1</v>
      </c>
      <c r="W80" s="32" t="str">
        <f>_xlfn.IFNA(VLOOKUP($C80&amp;","&amp;W3,汇编指令!$C$2:$D$235,2,FALSE),"-1")</f>
        <v>-1</v>
      </c>
      <c r="X80" s="32" t="str">
        <f>_xlfn.IFNA(VLOOKUP($C80&amp;","&amp;X3,汇编指令!$C$2:$D$235,2,FALSE),"-1")</f>
        <v>-1</v>
      </c>
      <c r="Y80" s="32" t="str">
        <f>_xlfn.IFNA(VLOOKUP($C80&amp;","&amp;Y3,汇编指令!$C$2:$D$235,2,FALSE),"-1")</f>
        <v>-1</v>
      </c>
      <c r="Z80" s="32" t="str">
        <f>_xlfn.IFNA(VLOOKUP($C80&amp;","&amp;Z3,汇编指令!$C$2:$D$235,2,FALSE),"-1")</f>
        <v>-1</v>
      </c>
      <c r="AA80" s="32" t="str">
        <f>_xlfn.IFNA(VLOOKUP($C80&amp;","&amp;AA3,汇编指令!$C$2:$D$235,2,FALSE),"-1")</f>
        <v>-1</v>
      </c>
      <c r="AB80" s="53" t="str">
        <f>_xlfn.IFNA(VLOOKUP($C80&amp;","&amp;AB3,汇编指令!$C$2:$D$235,2,FALSE),"-1")</f>
        <v>-1</v>
      </c>
      <c r="AC80" s="55"/>
    </row>
    <row r="81" ht="20" customHeight="1" spans="1:28">
      <c r="A81" s="16">
        <v>2</v>
      </c>
      <c r="B81" s="21">
        <f t="shared" si="13"/>
        <v>77</v>
      </c>
      <c r="C81" s="24" t="s">
        <v>996</v>
      </c>
      <c r="D81" s="23" t="str">
        <f t="shared" si="10"/>
        <v>4D</v>
      </c>
      <c r="E81" s="31" t="str">
        <f>_xlfn.IFNA(VLOOKUP($C81&amp;","&amp;E3,汇编指令!$C$2:$D$235,2,FALSE),"-1")</f>
        <v>F9</v>
      </c>
      <c r="F81" s="32" t="str">
        <f>_xlfn.IFNA(VLOOKUP($C81&amp;","&amp;F3,汇编指令!$C$2:$D$235,2,FALSE),"-1")</f>
        <v>-1</v>
      </c>
      <c r="G81" s="32" t="str">
        <f>_xlfn.IFNA(VLOOKUP($C81&amp;","&amp;G3,汇编指令!$C$2:$D$235,2,FALSE),"-1")</f>
        <v>-1</v>
      </c>
      <c r="H81" s="32" t="str">
        <f>_xlfn.IFNA(VLOOKUP($C81&amp;","&amp;H3,汇编指令!$C$2:$D$235,2,FALSE),"-1")</f>
        <v>-1</v>
      </c>
      <c r="I81" s="32" t="str">
        <f>_xlfn.IFNA(VLOOKUP($C81&amp;","&amp;I3,汇编指令!$C$2:$D$235,2,FALSE),"-1")</f>
        <v>-1</v>
      </c>
      <c r="J81" s="32" t="str">
        <f>_xlfn.IFNA(VLOOKUP($C81&amp;","&amp;J3,汇编指令!$C$2:$D$235,2,FALSE),"-1")</f>
        <v>-1</v>
      </c>
      <c r="K81" s="32" t="str">
        <f>_xlfn.IFNA(VLOOKUP($C81&amp;","&amp;K3,汇编指令!$C$2:$D$235,2,FALSE),"-1")</f>
        <v>-1</v>
      </c>
      <c r="L81" s="32" t="str">
        <f>_xlfn.IFNA(VLOOKUP($C81&amp;","&amp;L3,汇编指令!$C$2:$D$235,2,FALSE),"-1")</f>
        <v>-1</v>
      </c>
      <c r="M81" s="32" t="str">
        <f>_xlfn.IFNA(VLOOKUP($C81&amp;","&amp;M3,汇编指令!$C$2:$D$235,2,FALSE),"-1")</f>
        <v>-1</v>
      </c>
      <c r="N81" s="33" t="str">
        <f>_xlfn.IFNA(VLOOKUP($C81&amp;","&amp;N3,汇编指令!$C$2:$D$235,2,FALSE),"-1")</f>
        <v>79</v>
      </c>
      <c r="O81" s="33" t="str">
        <f>_xlfn.IFNA(VLOOKUP($C81&amp;","&amp;O3,汇编指令!$C$2:$D$235,2,FALSE),"-1")</f>
        <v>A9</v>
      </c>
      <c r="P81" s="32" t="str">
        <f>_xlfn.IFNA(VLOOKUP($C81&amp;","&amp;P3,汇编指令!$C$2:$D$235,2,FALSE),"-1")</f>
        <v>-1</v>
      </c>
      <c r="Q81" s="32" t="str">
        <f>_xlfn.IFNA(VLOOKUP($C81&amp;","&amp;Q3,汇编指令!$C$2:$D$235,2,FALSE),"-1")</f>
        <v>-1</v>
      </c>
      <c r="R81" s="32" t="str">
        <f>_xlfn.IFNA(VLOOKUP($C81&amp;","&amp;R3,汇编指令!$C$2:$D$235,2,FALSE),"-1")</f>
        <v>-1</v>
      </c>
      <c r="S81" s="32" t="str">
        <f>_xlfn.IFNA(VLOOKUP($C81&amp;","&amp;S3,汇编指令!$C$2:$D$235,2,FALSE),"-1")</f>
        <v>-1</v>
      </c>
      <c r="T81" s="32" t="str">
        <f>_xlfn.IFNA(VLOOKUP($C81&amp;","&amp;T3,汇编指令!$C$2:$D$235,2,FALSE),"-1")</f>
        <v>-1</v>
      </c>
      <c r="U81" s="32" t="str">
        <f>_xlfn.IFNA(VLOOKUP($C81&amp;","&amp;U3,汇编指令!$C$2:$D$235,2,FALSE),"-1")</f>
        <v>-1</v>
      </c>
      <c r="V81" s="32" t="str">
        <f>_xlfn.IFNA(VLOOKUP($C81&amp;","&amp;V3,汇编指令!$C$2:$D$235,2,FALSE),"-1")</f>
        <v>-1</v>
      </c>
      <c r="W81" s="32" t="str">
        <f>_xlfn.IFNA(VLOOKUP($C81&amp;","&amp;W3,汇编指令!$C$2:$D$235,2,FALSE),"-1")</f>
        <v>-1</v>
      </c>
      <c r="X81" s="32" t="str">
        <f>_xlfn.IFNA(VLOOKUP($C81&amp;","&amp;X3,汇编指令!$C$2:$D$235,2,FALSE),"-1")</f>
        <v>-1</v>
      </c>
      <c r="Y81" s="32" t="str">
        <f>_xlfn.IFNA(VLOOKUP($C81&amp;","&amp;Y3,汇编指令!$C$2:$D$235,2,FALSE),"-1")</f>
        <v>-1</v>
      </c>
      <c r="Z81" s="32" t="str">
        <f>_xlfn.IFNA(VLOOKUP($C81&amp;","&amp;Z3,汇编指令!$C$2:$D$235,2,FALSE),"-1")</f>
        <v>-1</v>
      </c>
      <c r="AA81" s="32" t="str">
        <f>_xlfn.IFNA(VLOOKUP($C81&amp;","&amp;AA3,汇编指令!$C$2:$D$235,2,FALSE),"-1")</f>
        <v>-1</v>
      </c>
      <c r="AB81" s="53" t="str">
        <f>_xlfn.IFNA(VLOOKUP($C81&amp;","&amp;AB3,汇编指令!$C$2:$D$235,2,FALSE),"-1")</f>
        <v>-1</v>
      </c>
    </row>
    <row r="82" ht="20" customHeight="1" spans="1:28">
      <c r="A82" s="16">
        <v>2</v>
      </c>
      <c r="B82" s="21">
        <f t="shared" si="13"/>
        <v>78</v>
      </c>
      <c r="C82" s="24" t="s">
        <v>997</v>
      </c>
      <c r="D82" s="23" t="str">
        <f t="shared" si="10"/>
        <v>4E</v>
      </c>
      <c r="E82" s="31" t="str">
        <f>_xlfn.IFNA(VLOOKUP($C82&amp;","&amp;E3,汇编指令!$C$2:$D$235,2,FALSE),"-1")</f>
        <v>FA</v>
      </c>
      <c r="F82" s="32" t="str">
        <f>_xlfn.IFNA(VLOOKUP($C82&amp;","&amp;F3,汇编指令!$C$2:$D$235,2,FALSE),"-1")</f>
        <v>-1</v>
      </c>
      <c r="G82" s="32" t="str">
        <f>_xlfn.IFNA(VLOOKUP($C82&amp;","&amp;G3,汇编指令!$C$2:$D$235,2,FALSE),"-1")</f>
        <v>-1</v>
      </c>
      <c r="H82" s="32" t="str">
        <f>_xlfn.IFNA(VLOOKUP($C82&amp;","&amp;H3,汇编指令!$C$2:$D$235,2,FALSE),"-1")</f>
        <v>-1</v>
      </c>
      <c r="I82" s="32" t="str">
        <f>_xlfn.IFNA(VLOOKUP($C82&amp;","&amp;I3,汇编指令!$C$2:$D$235,2,FALSE),"-1")</f>
        <v>-1</v>
      </c>
      <c r="J82" s="32" t="str">
        <f>_xlfn.IFNA(VLOOKUP($C82&amp;","&amp;J3,汇编指令!$C$2:$D$235,2,FALSE),"-1")</f>
        <v>-1</v>
      </c>
      <c r="K82" s="32" t="str">
        <f>_xlfn.IFNA(VLOOKUP($C82&amp;","&amp;K3,汇编指令!$C$2:$D$235,2,FALSE),"-1")</f>
        <v>-1</v>
      </c>
      <c r="L82" s="32" t="str">
        <f>_xlfn.IFNA(VLOOKUP($C82&amp;","&amp;L3,汇编指令!$C$2:$D$235,2,FALSE),"-1")</f>
        <v>-1</v>
      </c>
      <c r="M82" s="32" t="str">
        <f>_xlfn.IFNA(VLOOKUP($C82&amp;","&amp;M3,汇编指令!$C$2:$D$235,2,FALSE),"-1")</f>
        <v>-1</v>
      </c>
      <c r="N82" s="33" t="str">
        <f>_xlfn.IFNA(VLOOKUP($C82&amp;","&amp;N3,汇编指令!$C$2:$D$235,2,FALSE),"-1")</f>
        <v>7A</v>
      </c>
      <c r="O82" s="33" t="str">
        <f>_xlfn.IFNA(VLOOKUP($C82&amp;","&amp;O3,汇编指令!$C$2:$D$235,2,FALSE),"-1")</f>
        <v>AA</v>
      </c>
      <c r="P82" s="32" t="str">
        <f>_xlfn.IFNA(VLOOKUP($C82&amp;","&amp;P3,汇编指令!$C$2:$D$235,2,FALSE),"-1")</f>
        <v>-1</v>
      </c>
      <c r="Q82" s="32" t="str">
        <f>_xlfn.IFNA(VLOOKUP($C82&amp;","&amp;Q3,汇编指令!$C$2:$D$235,2,FALSE),"-1")</f>
        <v>-1</v>
      </c>
      <c r="R82" s="32" t="str">
        <f>_xlfn.IFNA(VLOOKUP($C82&amp;","&amp;R3,汇编指令!$C$2:$D$235,2,FALSE),"-1")</f>
        <v>-1</v>
      </c>
      <c r="S82" s="32" t="str">
        <f>_xlfn.IFNA(VLOOKUP($C82&amp;","&amp;S3,汇编指令!$C$2:$D$235,2,FALSE),"-1")</f>
        <v>-1</v>
      </c>
      <c r="T82" s="32" t="str">
        <f>_xlfn.IFNA(VLOOKUP($C82&amp;","&amp;T3,汇编指令!$C$2:$D$235,2,FALSE),"-1")</f>
        <v>-1</v>
      </c>
      <c r="U82" s="32" t="str">
        <f>_xlfn.IFNA(VLOOKUP($C82&amp;","&amp;U3,汇编指令!$C$2:$D$235,2,FALSE),"-1")</f>
        <v>-1</v>
      </c>
      <c r="V82" s="32" t="str">
        <f>_xlfn.IFNA(VLOOKUP($C82&amp;","&amp;V3,汇编指令!$C$2:$D$235,2,FALSE),"-1")</f>
        <v>-1</v>
      </c>
      <c r="W82" s="32" t="str">
        <f>_xlfn.IFNA(VLOOKUP($C82&amp;","&amp;W3,汇编指令!$C$2:$D$235,2,FALSE),"-1")</f>
        <v>-1</v>
      </c>
      <c r="X82" s="32" t="str">
        <f>_xlfn.IFNA(VLOOKUP($C82&amp;","&amp;X3,汇编指令!$C$2:$D$235,2,FALSE),"-1")</f>
        <v>-1</v>
      </c>
      <c r="Y82" s="32" t="str">
        <f>_xlfn.IFNA(VLOOKUP($C82&amp;","&amp;Y3,汇编指令!$C$2:$D$235,2,FALSE),"-1")</f>
        <v>-1</v>
      </c>
      <c r="Z82" s="32" t="str">
        <f>_xlfn.IFNA(VLOOKUP($C82&amp;","&amp;Z3,汇编指令!$C$2:$D$235,2,FALSE),"-1")</f>
        <v>-1</v>
      </c>
      <c r="AA82" s="32" t="str">
        <f>_xlfn.IFNA(VLOOKUP($C82&amp;","&amp;AA3,汇编指令!$C$2:$D$235,2,FALSE),"-1")</f>
        <v>-1</v>
      </c>
      <c r="AB82" s="53" t="str">
        <f>_xlfn.IFNA(VLOOKUP($C82&amp;","&amp;AB3,汇编指令!$C$2:$D$235,2,FALSE),"-1")</f>
        <v>-1</v>
      </c>
    </row>
    <row r="83" ht="20" customHeight="1" spans="1:28">
      <c r="A83" s="16">
        <v>2</v>
      </c>
      <c r="B83" s="21">
        <f t="shared" si="13"/>
        <v>79</v>
      </c>
      <c r="C83" s="24" t="s">
        <v>998</v>
      </c>
      <c r="D83" s="23" t="str">
        <f t="shared" si="10"/>
        <v>4F</v>
      </c>
      <c r="E83" s="31" t="str">
        <f>_xlfn.IFNA(VLOOKUP($C83&amp;","&amp;E3,汇编指令!$C$2:$D$235,2,FALSE),"-1")</f>
        <v>FB</v>
      </c>
      <c r="F83" s="32" t="str">
        <f>_xlfn.IFNA(VLOOKUP($C83&amp;","&amp;F3,汇编指令!$C$2:$D$235,2,FALSE),"-1")</f>
        <v>-1</v>
      </c>
      <c r="G83" s="32" t="str">
        <f>_xlfn.IFNA(VLOOKUP($C83&amp;","&amp;G3,汇编指令!$C$2:$D$235,2,FALSE),"-1")</f>
        <v>-1</v>
      </c>
      <c r="H83" s="32" t="str">
        <f>_xlfn.IFNA(VLOOKUP($C83&amp;","&amp;H3,汇编指令!$C$2:$D$235,2,FALSE),"-1")</f>
        <v>-1</v>
      </c>
      <c r="I83" s="32" t="str">
        <f>_xlfn.IFNA(VLOOKUP($C83&amp;","&amp;I3,汇编指令!$C$2:$D$235,2,FALSE),"-1")</f>
        <v>-1</v>
      </c>
      <c r="J83" s="32" t="str">
        <f>_xlfn.IFNA(VLOOKUP($C83&amp;","&amp;J3,汇编指令!$C$2:$D$235,2,FALSE),"-1")</f>
        <v>-1</v>
      </c>
      <c r="K83" s="32" t="str">
        <f>_xlfn.IFNA(VLOOKUP($C83&amp;","&amp;K3,汇编指令!$C$2:$D$235,2,FALSE),"-1")</f>
        <v>-1</v>
      </c>
      <c r="L83" s="32" t="str">
        <f>_xlfn.IFNA(VLOOKUP($C83&amp;","&amp;L3,汇编指令!$C$2:$D$235,2,FALSE),"-1")</f>
        <v>-1</v>
      </c>
      <c r="M83" s="32" t="str">
        <f>_xlfn.IFNA(VLOOKUP($C83&amp;","&amp;M3,汇编指令!$C$2:$D$235,2,FALSE),"-1")</f>
        <v>-1</v>
      </c>
      <c r="N83" s="33" t="str">
        <f>_xlfn.IFNA(VLOOKUP($C83&amp;","&amp;N3,汇编指令!$C$2:$D$235,2,FALSE),"-1")</f>
        <v>7B</v>
      </c>
      <c r="O83" s="33" t="str">
        <f>_xlfn.IFNA(VLOOKUP($C83&amp;","&amp;O3,汇编指令!$C$2:$D$235,2,FALSE),"-1")</f>
        <v>AB</v>
      </c>
      <c r="P83" s="32" t="str">
        <f>_xlfn.IFNA(VLOOKUP($C83&amp;","&amp;P3,汇编指令!$C$2:$D$235,2,FALSE),"-1")</f>
        <v>-1</v>
      </c>
      <c r="Q83" s="32" t="str">
        <f>_xlfn.IFNA(VLOOKUP($C83&amp;","&amp;Q3,汇编指令!$C$2:$D$235,2,FALSE),"-1")</f>
        <v>-1</v>
      </c>
      <c r="R83" s="32" t="str">
        <f>_xlfn.IFNA(VLOOKUP($C83&amp;","&amp;R3,汇编指令!$C$2:$D$235,2,FALSE),"-1")</f>
        <v>-1</v>
      </c>
      <c r="S83" s="32" t="str">
        <f>_xlfn.IFNA(VLOOKUP($C83&amp;","&amp;S3,汇编指令!$C$2:$D$235,2,FALSE),"-1")</f>
        <v>-1</v>
      </c>
      <c r="T83" s="32" t="str">
        <f>_xlfn.IFNA(VLOOKUP($C83&amp;","&amp;T3,汇编指令!$C$2:$D$235,2,FALSE),"-1")</f>
        <v>-1</v>
      </c>
      <c r="U83" s="32" t="str">
        <f>_xlfn.IFNA(VLOOKUP($C83&amp;","&amp;U3,汇编指令!$C$2:$D$235,2,FALSE),"-1")</f>
        <v>-1</v>
      </c>
      <c r="V83" s="32" t="str">
        <f>_xlfn.IFNA(VLOOKUP($C83&amp;","&amp;V3,汇编指令!$C$2:$D$235,2,FALSE),"-1")</f>
        <v>-1</v>
      </c>
      <c r="W83" s="32" t="str">
        <f>_xlfn.IFNA(VLOOKUP($C83&amp;","&amp;W3,汇编指令!$C$2:$D$235,2,FALSE),"-1")</f>
        <v>-1</v>
      </c>
      <c r="X83" s="32" t="str">
        <f>_xlfn.IFNA(VLOOKUP($C83&amp;","&amp;X3,汇编指令!$C$2:$D$235,2,FALSE),"-1")</f>
        <v>-1</v>
      </c>
      <c r="Y83" s="32" t="str">
        <f>_xlfn.IFNA(VLOOKUP($C83&amp;","&amp;Y3,汇编指令!$C$2:$D$235,2,FALSE),"-1")</f>
        <v>-1</v>
      </c>
      <c r="Z83" s="32" t="str">
        <f>_xlfn.IFNA(VLOOKUP($C83&amp;","&amp;Z3,汇编指令!$C$2:$D$235,2,FALSE),"-1")</f>
        <v>-1</v>
      </c>
      <c r="AA83" s="32" t="str">
        <f>_xlfn.IFNA(VLOOKUP($C83&amp;","&amp;AA3,汇编指令!$C$2:$D$235,2,FALSE),"-1")</f>
        <v>-1</v>
      </c>
      <c r="AB83" s="53" t="str">
        <f>_xlfn.IFNA(VLOOKUP($C83&amp;","&amp;AB3,汇编指令!$C$2:$D$235,2,FALSE),"-1")</f>
        <v>-1</v>
      </c>
    </row>
    <row r="84" ht="20" customHeight="1" spans="1:28">
      <c r="A84" s="16">
        <v>2</v>
      </c>
      <c r="B84" s="21">
        <f t="shared" si="13"/>
        <v>80</v>
      </c>
      <c r="C84" s="24" t="s">
        <v>999</v>
      </c>
      <c r="D84" s="23" t="str">
        <f t="shared" si="10"/>
        <v>50</v>
      </c>
      <c r="E84" s="31" t="str">
        <f>_xlfn.IFNA(VLOOKUP($C84&amp;","&amp;E3,汇编指令!$C$2:$D$235,2,FALSE),"-1")</f>
        <v>FC</v>
      </c>
      <c r="F84" s="32" t="str">
        <f>_xlfn.IFNA(VLOOKUP($C84&amp;","&amp;F3,汇编指令!$C$2:$D$235,2,FALSE),"-1")</f>
        <v>-1</v>
      </c>
      <c r="G84" s="32" t="str">
        <f>_xlfn.IFNA(VLOOKUP($C84&amp;","&amp;G3,汇编指令!$C$2:$D$235,2,FALSE),"-1")</f>
        <v>-1</v>
      </c>
      <c r="H84" s="32" t="str">
        <f>_xlfn.IFNA(VLOOKUP($C84&amp;","&amp;H3,汇编指令!$C$2:$D$235,2,FALSE),"-1")</f>
        <v>-1</v>
      </c>
      <c r="I84" s="32" t="str">
        <f>_xlfn.IFNA(VLOOKUP($C84&amp;","&amp;I3,汇编指令!$C$2:$D$235,2,FALSE),"-1")</f>
        <v>-1</v>
      </c>
      <c r="J84" s="32" t="str">
        <f>_xlfn.IFNA(VLOOKUP($C84&amp;","&amp;J3,汇编指令!$C$2:$D$235,2,FALSE),"-1")</f>
        <v>-1</v>
      </c>
      <c r="K84" s="32" t="str">
        <f>_xlfn.IFNA(VLOOKUP($C84&amp;","&amp;K3,汇编指令!$C$2:$D$235,2,FALSE),"-1")</f>
        <v>-1</v>
      </c>
      <c r="L84" s="32" t="str">
        <f>_xlfn.IFNA(VLOOKUP($C84&amp;","&amp;L3,汇编指令!$C$2:$D$235,2,FALSE),"-1")</f>
        <v>-1</v>
      </c>
      <c r="M84" s="32" t="str">
        <f>_xlfn.IFNA(VLOOKUP($C84&amp;","&amp;M3,汇编指令!$C$2:$D$235,2,FALSE),"-1")</f>
        <v>-1</v>
      </c>
      <c r="N84" s="33" t="str">
        <f>_xlfn.IFNA(VLOOKUP($C84&amp;","&amp;N3,汇编指令!$C$2:$D$235,2,FALSE),"-1")</f>
        <v>7C</v>
      </c>
      <c r="O84" s="33" t="str">
        <f>_xlfn.IFNA(VLOOKUP($C84&amp;","&amp;O3,汇编指令!$C$2:$D$235,2,FALSE),"-1")</f>
        <v>AC</v>
      </c>
      <c r="P84" s="32" t="str">
        <f>_xlfn.IFNA(VLOOKUP($C84&amp;","&amp;P3,汇编指令!$C$2:$D$235,2,FALSE),"-1")</f>
        <v>-1</v>
      </c>
      <c r="Q84" s="32" t="str">
        <f>_xlfn.IFNA(VLOOKUP($C84&amp;","&amp;Q3,汇编指令!$C$2:$D$235,2,FALSE),"-1")</f>
        <v>-1</v>
      </c>
      <c r="R84" s="32" t="str">
        <f>_xlfn.IFNA(VLOOKUP($C84&amp;","&amp;R3,汇编指令!$C$2:$D$235,2,FALSE),"-1")</f>
        <v>-1</v>
      </c>
      <c r="S84" s="32" t="str">
        <f>_xlfn.IFNA(VLOOKUP($C84&amp;","&amp;S3,汇编指令!$C$2:$D$235,2,FALSE),"-1")</f>
        <v>-1</v>
      </c>
      <c r="T84" s="32" t="str">
        <f>_xlfn.IFNA(VLOOKUP($C84&amp;","&amp;T3,汇编指令!$C$2:$D$235,2,FALSE),"-1")</f>
        <v>-1</v>
      </c>
      <c r="U84" s="32" t="str">
        <f>_xlfn.IFNA(VLOOKUP($C84&amp;","&amp;U3,汇编指令!$C$2:$D$235,2,FALSE),"-1")</f>
        <v>-1</v>
      </c>
      <c r="V84" s="32" t="str">
        <f>_xlfn.IFNA(VLOOKUP($C84&amp;","&amp;V3,汇编指令!$C$2:$D$235,2,FALSE),"-1")</f>
        <v>-1</v>
      </c>
      <c r="W84" s="32" t="str">
        <f>_xlfn.IFNA(VLOOKUP($C84&amp;","&amp;W3,汇编指令!$C$2:$D$235,2,FALSE),"-1")</f>
        <v>-1</v>
      </c>
      <c r="X84" s="32" t="str">
        <f>_xlfn.IFNA(VLOOKUP($C84&amp;","&amp;X3,汇编指令!$C$2:$D$235,2,FALSE),"-1")</f>
        <v>-1</v>
      </c>
      <c r="Y84" s="32" t="str">
        <f>_xlfn.IFNA(VLOOKUP($C84&amp;","&amp;Y3,汇编指令!$C$2:$D$235,2,FALSE),"-1")</f>
        <v>-1</v>
      </c>
      <c r="Z84" s="32" t="str">
        <f>_xlfn.IFNA(VLOOKUP($C84&amp;","&amp;Z3,汇编指令!$C$2:$D$235,2,FALSE),"-1")</f>
        <v>-1</v>
      </c>
      <c r="AA84" s="32" t="str">
        <f>_xlfn.IFNA(VLOOKUP($C84&amp;","&amp;AA3,汇编指令!$C$2:$D$235,2,FALSE),"-1")</f>
        <v>-1</v>
      </c>
      <c r="AB84" s="53" t="str">
        <f>_xlfn.IFNA(VLOOKUP($C84&amp;","&amp;AB3,汇编指令!$C$2:$D$235,2,FALSE),"-1")</f>
        <v>-1</v>
      </c>
    </row>
    <row r="85" ht="20" customHeight="1" spans="1:28">
      <c r="A85" s="16">
        <v>2</v>
      </c>
      <c r="B85" s="21">
        <f t="shared" si="13"/>
        <v>81</v>
      </c>
      <c r="C85" s="24" t="s">
        <v>1000</v>
      </c>
      <c r="D85" s="23" t="str">
        <f t="shared" si="10"/>
        <v>51</v>
      </c>
      <c r="E85" s="31" t="str">
        <f>_xlfn.IFNA(VLOOKUP($C85&amp;","&amp;E3,汇编指令!$C$2:$D$235,2,FALSE),"-1")</f>
        <v>FD</v>
      </c>
      <c r="F85" s="32" t="str">
        <f>_xlfn.IFNA(VLOOKUP($C85&amp;","&amp;F3,汇编指令!$C$2:$D$235,2,FALSE),"-1")</f>
        <v>-1</v>
      </c>
      <c r="G85" s="32" t="str">
        <f>_xlfn.IFNA(VLOOKUP($C85&amp;","&amp;G3,汇编指令!$C$2:$D$235,2,FALSE),"-1")</f>
        <v>-1</v>
      </c>
      <c r="H85" s="32" t="str">
        <f>_xlfn.IFNA(VLOOKUP($C85&amp;","&amp;H3,汇编指令!$C$2:$D$235,2,FALSE),"-1")</f>
        <v>-1</v>
      </c>
      <c r="I85" s="32" t="str">
        <f>_xlfn.IFNA(VLOOKUP($C85&amp;","&amp;I3,汇编指令!$C$2:$D$235,2,FALSE),"-1")</f>
        <v>-1</v>
      </c>
      <c r="J85" s="32" t="str">
        <f>_xlfn.IFNA(VLOOKUP($C85&amp;","&amp;J3,汇编指令!$C$2:$D$235,2,FALSE),"-1")</f>
        <v>-1</v>
      </c>
      <c r="K85" s="32" t="str">
        <f>_xlfn.IFNA(VLOOKUP($C85&amp;","&amp;K3,汇编指令!$C$2:$D$235,2,FALSE),"-1")</f>
        <v>-1</v>
      </c>
      <c r="L85" s="32" t="str">
        <f>_xlfn.IFNA(VLOOKUP($C85&amp;","&amp;L3,汇编指令!$C$2:$D$235,2,FALSE),"-1")</f>
        <v>-1</v>
      </c>
      <c r="M85" s="32" t="str">
        <f>_xlfn.IFNA(VLOOKUP($C85&amp;","&amp;M3,汇编指令!$C$2:$D$235,2,FALSE),"-1")</f>
        <v>-1</v>
      </c>
      <c r="N85" s="33" t="str">
        <f>_xlfn.IFNA(VLOOKUP($C85&amp;","&amp;N3,汇编指令!$C$2:$D$235,2,FALSE),"-1")</f>
        <v>7D</v>
      </c>
      <c r="O85" s="33" t="str">
        <f>_xlfn.IFNA(VLOOKUP($C85&amp;","&amp;O3,汇编指令!$C$2:$D$235,2,FALSE),"-1")</f>
        <v>AD</v>
      </c>
      <c r="P85" s="32" t="str">
        <f>_xlfn.IFNA(VLOOKUP($C85&amp;","&amp;P3,汇编指令!$C$2:$D$235,2,FALSE),"-1")</f>
        <v>-1</v>
      </c>
      <c r="Q85" s="32" t="str">
        <f>_xlfn.IFNA(VLOOKUP($C85&amp;","&amp;Q3,汇编指令!$C$2:$D$235,2,FALSE),"-1")</f>
        <v>-1</v>
      </c>
      <c r="R85" s="32" t="str">
        <f>_xlfn.IFNA(VLOOKUP($C85&amp;","&amp;R3,汇编指令!$C$2:$D$235,2,FALSE),"-1")</f>
        <v>-1</v>
      </c>
      <c r="S85" s="32" t="str">
        <f>_xlfn.IFNA(VLOOKUP($C85&amp;","&amp;S3,汇编指令!$C$2:$D$235,2,FALSE),"-1")</f>
        <v>-1</v>
      </c>
      <c r="T85" s="32" t="str">
        <f>_xlfn.IFNA(VLOOKUP($C85&amp;","&amp;T3,汇编指令!$C$2:$D$235,2,FALSE),"-1")</f>
        <v>-1</v>
      </c>
      <c r="U85" s="32" t="str">
        <f>_xlfn.IFNA(VLOOKUP($C85&amp;","&amp;U3,汇编指令!$C$2:$D$235,2,FALSE),"-1")</f>
        <v>-1</v>
      </c>
      <c r="V85" s="32" t="str">
        <f>_xlfn.IFNA(VLOOKUP($C85&amp;","&amp;V3,汇编指令!$C$2:$D$235,2,FALSE),"-1")</f>
        <v>-1</v>
      </c>
      <c r="W85" s="32" t="str">
        <f>_xlfn.IFNA(VLOOKUP($C85&amp;","&amp;W3,汇编指令!$C$2:$D$235,2,FALSE),"-1")</f>
        <v>-1</v>
      </c>
      <c r="X85" s="32" t="str">
        <f>_xlfn.IFNA(VLOOKUP($C85&amp;","&amp;X3,汇编指令!$C$2:$D$235,2,FALSE),"-1")</f>
        <v>-1</v>
      </c>
      <c r="Y85" s="32" t="str">
        <f>_xlfn.IFNA(VLOOKUP($C85&amp;","&amp;Y3,汇编指令!$C$2:$D$235,2,FALSE),"-1")</f>
        <v>-1</v>
      </c>
      <c r="Z85" s="32" t="str">
        <f>_xlfn.IFNA(VLOOKUP($C85&amp;","&amp;Z3,汇编指令!$C$2:$D$235,2,FALSE),"-1")</f>
        <v>-1</v>
      </c>
      <c r="AA85" s="32" t="str">
        <f>_xlfn.IFNA(VLOOKUP($C85&amp;","&amp;AA3,汇编指令!$C$2:$D$235,2,FALSE),"-1")</f>
        <v>-1</v>
      </c>
      <c r="AB85" s="53" t="str">
        <f>_xlfn.IFNA(VLOOKUP($C85&amp;","&amp;AB3,汇编指令!$C$2:$D$235,2,FALSE),"-1")</f>
        <v>-1</v>
      </c>
    </row>
    <row r="86" ht="20" customHeight="1" spans="1:28">
      <c r="A86" s="16">
        <v>2</v>
      </c>
      <c r="B86" s="21">
        <f t="shared" si="13"/>
        <v>82</v>
      </c>
      <c r="C86" s="24" t="s">
        <v>1001</v>
      </c>
      <c r="D86" s="23" t="str">
        <f t="shared" si="10"/>
        <v>52</v>
      </c>
      <c r="E86" s="31" t="str">
        <f>_xlfn.IFNA(VLOOKUP($C86&amp;","&amp;E3,汇编指令!$C$2:$D$235,2,FALSE),"-1")</f>
        <v>FE</v>
      </c>
      <c r="F86" s="32" t="str">
        <f>_xlfn.IFNA(VLOOKUP($C86&amp;","&amp;F3,汇编指令!$C$2:$D$235,2,FALSE),"-1")</f>
        <v>-1</v>
      </c>
      <c r="G86" s="32" t="str">
        <f>_xlfn.IFNA(VLOOKUP($C86&amp;","&amp;G3,汇编指令!$C$2:$D$235,2,FALSE),"-1")</f>
        <v>-1</v>
      </c>
      <c r="H86" s="32" t="str">
        <f>_xlfn.IFNA(VLOOKUP($C86&amp;","&amp;H3,汇编指令!$C$2:$D$235,2,FALSE),"-1")</f>
        <v>-1</v>
      </c>
      <c r="I86" s="32" t="str">
        <f>_xlfn.IFNA(VLOOKUP($C86&amp;","&amp;I3,汇编指令!$C$2:$D$235,2,FALSE),"-1")</f>
        <v>-1</v>
      </c>
      <c r="J86" s="32" t="str">
        <f>_xlfn.IFNA(VLOOKUP($C86&amp;","&amp;J3,汇编指令!$C$2:$D$235,2,FALSE),"-1")</f>
        <v>-1</v>
      </c>
      <c r="K86" s="32" t="str">
        <f>_xlfn.IFNA(VLOOKUP($C86&amp;","&amp;K3,汇编指令!$C$2:$D$235,2,FALSE),"-1")</f>
        <v>-1</v>
      </c>
      <c r="L86" s="32" t="str">
        <f>_xlfn.IFNA(VLOOKUP($C86&amp;","&amp;L3,汇编指令!$C$2:$D$235,2,FALSE),"-1")</f>
        <v>-1</v>
      </c>
      <c r="M86" s="32" t="str">
        <f>_xlfn.IFNA(VLOOKUP($C86&amp;","&amp;M3,汇编指令!$C$2:$D$235,2,FALSE),"-1")</f>
        <v>-1</v>
      </c>
      <c r="N86" s="33" t="str">
        <f>_xlfn.IFNA(VLOOKUP($C86&amp;","&amp;N3,汇编指令!$C$2:$D$235,2,FALSE),"-1")</f>
        <v>7E</v>
      </c>
      <c r="O86" s="33" t="str">
        <f>_xlfn.IFNA(VLOOKUP($C86&amp;","&amp;O3,汇编指令!$C$2:$D$235,2,FALSE),"-1")</f>
        <v>AE</v>
      </c>
      <c r="P86" s="32" t="str">
        <f>_xlfn.IFNA(VLOOKUP($C86&amp;","&amp;P3,汇编指令!$C$2:$D$235,2,FALSE),"-1")</f>
        <v>-1</v>
      </c>
      <c r="Q86" s="32" t="str">
        <f>_xlfn.IFNA(VLOOKUP($C86&amp;","&amp;Q3,汇编指令!$C$2:$D$235,2,FALSE),"-1")</f>
        <v>-1</v>
      </c>
      <c r="R86" s="32" t="str">
        <f>_xlfn.IFNA(VLOOKUP($C86&amp;","&amp;R3,汇编指令!$C$2:$D$235,2,FALSE),"-1")</f>
        <v>-1</v>
      </c>
      <c r="S86" s="32" t="str">
        <f>_xlfn.IFNA(VLOOKUP($C86&amp;","&amp;S3,汇编指令!$C$2:$D$235,2,FALSE),"-1")</f>
        <v>-1</v>
      </c>
      <c r="T86" s="32" t="str">
        <f>_xlfn.IFNA(VLOOKUP($C86&amp;","&amp;T3,汇编指令!$C$2:$D$235,2,FALSE),"-1")</f>
        <v>-1</v>
      </c>
      <c r="U86" s="32" t="str">
        <f>_xlfn.IFNA(VLOOKUP($C86&amp;","&amp;U3,汇编指令!$C$2:$D$235,2,FALSE),"-1")</f>
        <v>-1</v>
      </c>
      <c r="V86" s="32" t="str">
        <f>_xlfn.IFNA(VLOOKUP($C86&amp;","&amp;V3,汇编指令!$C$2:$D$235,2,FALSE),"-1")</f>
        <v>-1</v>
      </c>
      <c r="W86" s="32" t="str">
        <f>_xlfn.IFNA(VLOOKUP($C86&amp;","&amp;W3,汇编指令!$C$2:$D$235,2,FALSE),"-1")</f>
        <v>-1</v>
      </c>
      <c r="X86" s="32" t="str">
        <f>_xlfn.IFNA(VLOOKUP($C86&amp;","&amp;X3,汇编指令!$C$2:$D$235,2,FALSE),"-1")</f>
        <v>-1</v>
      </c>
      <c r="Y86" s="32" t="str">
        <f>_xlfn.IFNA(VLOOKUP($C86&amp;","&amp;Y3,汇编指令!$C$2:$D$235,2,FALSE),"-1")</f>
        <v>-1</v>
      </c>
      <c r="Z86" s="32" t="str">
        <f>_xlfn.IFNA(VLOOKUP($C86&amp;","&amp;Z3,汇编指令!$C$2:$D$235,2,FALSE),"-1")</f>
        <v>-1</v>
      </c>
      <c r="AA86" s="32" t="str">
        <f>_xlfn.IFNA(VLOOKUP($C86&amp;","&amp;AA3,汇编指令!$C$2:$D$235,2,FALSE),"-1")</f>
        <v>-1</v>
      </c>
      <c r="AB86" s="53" t="str">
        <f>_xlfn.IFNA(VLOOKUP($C86&amp;","&amp;AB3,汇编指令!$C$2:$D$235,2,FALSE),"-1")</f>
        <v>-1</v>
      </c>
    </row>
    <row r="87" ht="20" customHeight="1" spans="1:28">
      <c r="A87" s="16">
        <v>2</v>
      </c>
      <c r="B87" s="21">
        <f t="shared" si="13"/>
        <v>83</v>
      </c>
      <c r="C87" s="24" t="s">
        <v>1002</v>
      </c>
      <c r="D87" s="23" t="str">
        <f t="shared" ref="D87:D112" si="14">DEC2HEX(B87)</f>
        <v>53</v>
      </c>
      <c r="E87" s="31" t="str">
        <f>_xlfn.IFNA(VLOOKUP($C87&amp;","&amp;E3,汇编指令!$C$2:$D$235,2,FALSE),"-1")</f>
        <v>FF</v>
      </c>
      <c r="F87" s="32" t="str">
        <f>_xlfn.IFNA(VLOOKUP($C87&amp;","&amp;F3,汇编指令!$C$2:$D$235,2,FALSE),"-1")</f>
        <v>-1</v>
      </c>
      <c r="G87" s="32" t="str">
        <f>_xlfn.IFNA(VLOOKUP($C87&amp;","&amp;G3,汇编指令!$C$2:$D$235,2,FALSE),"-1")</f>
        <v>-1</v>
      </c>
      <c r="H87" s="32" t="str">
        <f>_xlfn.IFNA(VLOOKUP($C87&amp;","&amp;H3,汇编指令!$C$2:$D$235,2,FALSE),"-1")</f>
        <v>-1</v>
      </c>
      <c r="I87" s="32" t="str">
        <f>_xlfn.IFNA(VLOOKUP($C87&amp;","&amp;I3,汇编指令!$C$2:$D$235,2,FALSE),"-1")</f>
        <v>-1</v>
      </c>
      <c r="J87" s="32" t="str">
        <f>_xlfn.IFNA(VLOOKUP($C87&amp;","&amp;J3,汇编指令!$C$2:$D$235,2,FALSE),"-1")</f>
        <v>-1</v>
      </c>
      <c r="K87" s="32" t="str">
        <f>_xlfn.IFNA(VLOOKUP($C87&amp;","&amp;K3,汇编指令!$C$2:$D$235,2,FALSE),"-1")</f>
        <v>-1</v>
      </c>
      <c r="L87" s="32" t="str">
        <f>_xlfn.IFNA(VLOOKUP($C87&amp;","&amp;L3,汇编指令!$C$2:$D$235,2,FALSE),"-1")</f>
        <v>-1</v>
      </c>
      <c r="M87" s="32" t="str">
        <f>_xlfn.IFNA(VLOOKUP($C87&amp;","&amp;M3,汇编指令!$C$2:$D$235,2,FALSE),"-1")</f>
        <v>-1</v>
      </c>
      <c r="N87" s="33" t="str">
        <f>_xlfn.IFNA(VLOOKUP($C87&amp;","&amp;N3,汇编指令!$C$2:$D$235,2,FALSE),"-1")</f>
        <v>7F</v>
      </c>
      <c r="O87" s="33" t="str">
        <f>_xlfn.IFNA(VLOOKUP($C87&amp;","&amp;O3,汇编指令!$C$2:$D$235,2,FALSE),"-1")</f>
        <v>AF</v>
      </c>
      <c r="P87" s="32" t="str">
        <f>_xlfn.IFNA(VLOOKUP($C87&amp;","&amp;P3,汇编指令!$C$2:$D$235,2,FALSE),"-1")</f>
        <v>-1</v>
      </c>
      <c r="Q87" s="32" t="str">
        <f>_xlfn.IFNA(VLOOKUP($C87&amp;","&amp;Q3,汇编指令!$C$2:$D$235,2,FALSE),"-1")</f>
        <v>-1</v>
      </c>
      <c r="R87" s="32" t="str">
        <f>_xlfn.IFNA(VLOOKUP($C87&amp;","&amp;R3,汇编指令!$C$2:$D$235,2,FALSE),"-1")</f>
        <v>-1</v>
      </c>
      <c r="S87" s="32" t="str">
        <f>_xlfn.IFNA(VLOOKUP($C87&amp;","&amp;S3,汇编指令!$C$2:$D$235,2,FALSE),"-1")</f>
        <v>-1</v>
      </c>
      <c r="T87" s="32" t="str">
        <f>_xlfn.IFNA(VLOOKUP($C87&amp;","&amp;T3,汇编指令!$C$2:$D$235,2,FALSE),"-1")</f>
        <v>-1</v>
      </c>
      <c r="U87" s="32" t="str">
        <f>_xlfn.IFNA(VLOOKUP($C87&amp;","&amp;U3,汇编指令!$C$2:$D$235,2,FALSE),"-1")</f>
        <v>-1</v>
      </c>
      <c r="V87" s="32" t="str">
        <f>_xlfn.IFNA(VLOOKUP($C87&amp;","&amp;V3,汇编指令!$C$2:$D$235,2,FALSE),"-1")</f>
        <v>-1</v>
      </c>
      <c r="W87" s="32" t="str">
        <f>_xlfn.IFNA(VLOOKUP($C87&amp;","&amp;W3,汇编指令!$C$2:$D$235,2,FALSE),"-1")</f>
        <v>-1</v>
      </c>
      <c r="X87" s="32" t="str">
        <f>_xlfn.IFNA(VLOOKUP($C87&amp;","&amp;X3,汇编指令!$C$2:$D$235,2,FALSE),"-1")</f>
        <v>-1</v>
      </c>
      <c r="Y87" s="32" t="str">
        <f>_xlfn.IFNA(VLOOKUP($C87&amp;","&amp;Y3,汇编指令!$C$2:$D$235,2,FALSE),"-1")</f>
        <v>-1</v>
      </c>
      <c r="Z87" s="32" t="str">
        <f>_xlfn.IFNA(VLOOKUP($C87&amp;","&amp;Z3,汇编指令!$C$2:$D$235,2,FALSE),"-1")</f>
        <v>-1</v>
      </c>
      <c r="AA87" s="32" t="str">
        <f>_xlfn.IFNA(VLOOKUP($C87&amp;","&amp;AA3,汇编指令!$C$2:$D$235,2,FALSE),"-1")</f>
        <v>-1</v>
      </c>
      <c r="AB87" s="53" t="str">
        <f>_xlfn.IFNA(VLOOKUP($C87&amp;","&amp;AB3,汇编指令!$C$2:$D$235,2,FALSE),"-1")</f>
        <v>-1</v>
      </c>
    </row>
    <row r="88" ht="20" customHeight="1" spans="1:28">
      <c r="A88" s="16">
        <v>2</v>
      </c>
      <c r="B88" s="21">
        <f t="shared" ref="B88:B97" si="15">ROW()-4</f>
        <v>84</v>
      </c>
      <c r="C88" s="24" t="s">
        <v>1003</v>
      </c>
      <c r="D88" s="23" t="str">
        <f t="shared" si="14"/>
        <v>54</v>
      </c>
      <c r="E88" s="34" t="str">
        <f>_xlfn.IFNA(VLOOKUP($C88&amp;","&amp;E3,汇编指令!$C$2:$D$235,2,FALSE),"-1")</f>
        <v>-1</v>
      </c>
      <c r="F88" s="32" t="str">
        <f>_xlfn.IFNA(VLOOKUP($C88&amp;","&amp;F3,汇编指令!$C$2:$D$235,2,FALSE),"-1")</f>
        <v>-1</v>
      </c>
      <c r="G88" s="32" t="str">
        <f>_xlfn.IFNA(VLOOKUP($C88&amp;","&amp;G3,汇编指令!$C$2:$D$235,2,FALSE),"-1")</f>
        <v>-1</v>
      </c>
      <c r="H88" s="32" t="str">
        <f>_xlfn.IFNA(VLOOKUP($C88&amp;","&amp;H3,汇编指令!$C$2:$D$235,2,FALSE),"-1")</f>
        <v>-1</v>
      </c>
      <c r="I88" s="32" t="str">
        <f>_xlfn.IFNA(VLOOKUP($C88&amp;","&amp;I3,汇编指令!$C$2:$D$235,2,FALSE),"-1")</f>
        <v>-1</v>
      </c>
      <c r="J88" s="32" t="str">
        <f>_xlfn.IFNA(VLOOKUP($C88&amp;","&amp;J3,汇编指令!$C$2:$D$235,2,FALSE),"-1")</f>
        <v>-1</v>
      </c>
      <c r="K88" s="32" t="str">
        <f>_xlfn.IFNA(VLOOKUP($C88&amp;","&amp;K3,汇编指令!$C$2:$D$235,2,FALSE),"-1")</f>
        <v>-1</v>
      </c>
      <c r="L88" s="32" t="str">
        <f>_xlfn.IFNA(VLOOKUP($C88&amp;","&amp;L3,汇编指令!$C$2:$D$235,2,FALSE),"-1")</f>
        <v>-1</v>
      </c>
      <c r="M88" s="32" t="str">
        <f>_xlfn.IFNA(VLOOKUP($C88&amp;","&amp;M3,汇编指令!$C$2:$D$235,2,FALSE),"-1")</f>
        <v>-1</v>
      </c>
      <c r="N88" s="32" t="str">
        <f>_xlfn.IFNA(VLOOKUP($C88&amp;","&amp;N3,汇编指令!$C$2:$D$235,2,FALSE),"-1")</f>
        <v>-1</v>
      </c>
      <c r="O88" s="32" t="str">
        <f>_xlfn.IFNA(VLOOKUP($C88&amp;","&amp;O3,汇编指令!$C$2:$D$235,2,FALSE),"-1")</f>
        <v>-1</v>
      </c>
      <c r="P88" s="32" t="str">
        <f>_xlfn.IFNA(VLOOKUP($C88&amp;","&amp;P3,汇编指令!$C$2:$D$235,2,FALSE),"-1")</f>
        <v>-1</v>
      </c>
      <c r="Q88" s="32" t="str">
        <f>_xlfn.IFNA(VLOOKUP($C88&amp;","&amp;Q3,汇编指令!$C$2:$D$235,2,FALSE),"-1")</f>
        <v>-1</v>
      </c>
      <c r="R88" s="32" t="str">
        <f>_xlfn.IFNA(VLOOKUP($C88&amp;","&amp;R3,汇编指令!$C$2:$D$235,2,FALSE),"-1")</f>
        <v>-1</v>
      </c>
      <c r="S88" s="32" t="str">
        <f>_xlfn.IFNA(VLOOKUP($C88&amp;","&amp;S3,汇编指令!$C$2:$D$235,2,FALSE),"-1")</f>
        <v>-1</v>
      </c>
      <c r="T88" s="33" t="str">
        <f>_xlfn.IFNA(VLOOKUP($C88&amp;","&amp;T3,汇编指令!$C$2:$D$235,2,FALSE),"-1")</f>
        <v>83</v>
      </c>
      <c r="U88" s="33" t="str">
        <f>_xlfn.IFNA(VLOOKUP($C88&amp;","&amp;U3,汇编指令!$C$2:$D$235,2,FALSE),"-1")</f>
        <v>93</v>
      </c>
      <c r="V88" s="32" t="str">
        <f>_xlfn.IFNA(VLOOKUP($C88&amp;","&amp;V3,汇编指令!$C$2:$D$235,2,FALSE),"-1")</f>
        <v>-1</v>
      </c>
      <c r="W88" s="32" t="str">
        <f>_xlfn.IFNA(VLOOKUP($C88&amp;","&amp;W3,汇编指令!$C$2:$D$235,2,FALSE),"-1")</f>
        <v>-1</v>
      </c>
      <c r="X88" s="32" t="str">
        <f>_xlfn.IFNA(VLOOKUP($C88&amp;","&amp;X3,汇编指令!$C$2:$D$235,2,FALSE),"-1")</f>
        <v>-1</v>
      </c>
      <c r="Y88" s="32" t="str">
        <f>_xlfn.IFNA(VLOOKUP($C88&amp;","&amp;Y3,汇编指令!$C$2:$D$235,2,FALSE),"-1")</f>
        <v>-1</v>
      </c>
      <c r="Z88" s="32" t="str">
        <f>_xlfn.IFNA(VLOOKUP($C88&amp;","&amp;Z3,汇编指令!$C$2:$D$235,2,FALSE),"-1")</f>
        <v>-1</v>
      </c>
      <c r="AA88" s="32" t="str">
        <f>_xlfn.IFNA(VLOOKUP($C88&amp;","&amp;AA3,汇编指令!$C$2:$D$235,2,FALSE),"-1")</f>
        <v>-1</v>
      </c>
      <c r="AB88" s="53" t="str">
        <f>_xlfn.IFNA(VLOOKUP($C88&amp;","&amp;AB3,汇编指令!$C$2:$D$235,2,FALSE),"-1")</f>
        <v>-1</v>
      </c>
    </row>
    <row r="89" ht="20" customHeight="1" spans="1:28">
      <c r="A89" s="16">
        <v>2</v>
      </c>
      <c r="B89" s="21">
        <f t="shared" si="15"/>
        <v>85</v>
      </c>
      <c r="C89" s="24" t="s">
        <v>1004</v>
      </c>
      <c r="D89" s="23" t="str">
        <f t="shared" si="14"/>
        <v>55</v>
      </c>
      <c r="E89" s="31" t="str">
        <f>_xlfn.IFNA(VLOOKUP($C89&amp;","&amp;E3,汇编指令!$C$2:$D$235,2,FALSE),"-1")</f>
        <v>F0</v>
      </c>
      <c r="F89" s="32" t="str">
        <f>_xlfn.IFNA(VLOOKUP($C89&amp;","&amp;F3,汇编指令!$C$2:$D$235,2,FALSE),"-1")</f>
        <v>-1</v>
      </c>
      <c r="G89" s="32" t="str">
        <f>_xlfn.IFNA(VLOOKUP($C89&amp;","&amp;G3,汇编指令!$C$2:$D$235,2,FALSE),"-1")</f>
        <v>-1</v>
      </c>
      <c r="H89" s="32" t="str">
        <f>_xlfn.IFNA(VLOOKUP($C89&amp;","&amp;H3,汇编指令!$C$2:$D$235,2,FALSE),"-1")</f>
        <v>-1</v>
      </c>
      <c r="I89" s="32" t="str">
        <f>_xlfn.IFNA(VLOOKUP($C89&amp;","&amp;I3,汇编指令!$C$2:$D$235,2,FALSE),"-1")</f>
        <v>-1</v>
      </c>
      <c r="J89" s="32" t="str">
        <f>_xlfn.IFNA(VLOOKUP($C89&amp;","&amp;J3,汇编指令!$C$2:$D$235,2,FALSE),"-1")</f>
        <v>-1</v>
      </c>
      <c r="K89" s="32" t="str">
        <f>_xlfn.IFNA(VLOOKUP($C89&amp;","&amp;K3,汇编指令!$C$2:$D$235,2,FALSE),"-1")</f>
        <v>-1</v>
      </c>
      <c r="L89" s="32" t="str">
        <f>_xlfn.IFNA(VLOOKUP($C89&amp;","&amp;L3,汇编指令!$C$2:$D$235,2,FALSE),"-1")</f>
        <v>-1</v>
      </c>
      <c r="M89" s="32" t="str">
        <f>_xlfn.IFNA(VLOOKUP($C89&amp;","&amp;M3,汇编指令!$C$2:$D$235,2,FALSE),"-1")</f>
        <v>-1</v>
      </c>
      <c r="N89" s="32" t="str">
        <f>_xlfn.IFNA(VLOOKUP($C89&amp;","&amp;N3,汇编指令!$C$2:$D$235,2,FALSE),"-1")</f>
        <v>-1</v>
      </c>
      <c r="O89" s="32" t="str">
        <f>_xlfn.IFNA(VLOOKUP($C89&amp;","&amp;O3,汇编指令!$C$2:$D$235,2,FALSE),"-1")</f>
        <v>-1</v>
      </c>
      <c r="P89" s="32" t="str">
        <f>_xlfn.IFNA(VLOOKUP($C89&amp;","&amp;P3,汇编指令!$C$2:$D$235,2,FALSE),"-1")</f>
        <v>-1</v>
      </c>
      <c r="Q89" s="32" t="str">
        <f>_xlfn.IFNA(VLOOKUP($C89&amp;","&amp;Q3,汇编指令!$C$2:$D$235,2,FALSE),"-1")</f>
        <v>-1</v>
      </c>
      <c r="R89" s="32" t="str">
        <f>_xlfn.IFNA(VLOOKUP($C89&amp;","&amp;R3,汇编指令!$C$2:$D$235,2,FALSE),"-1")</f>
        <v>-1</v>
      </c>
      <c r="S89" s="32" t="str">
        <f>_xlfn.IFNA(VLOOKUP($C89&amp;","&amp;S3,汇编指令!$C$2:$D$235,2,FALSE),"-1")</f>
        <v>-1</v>
      </c>
      <c r="T89" s="32" t="str">
        <f>_xlfn.IFNA(VLOOKUP($C89&amp;","&amp;T3,汇编指令!$C$2:$D$235,2,FALSE),"-1")</f>
        <v>-1</v>
      </c>
      <c r="U89" s="32" t="str">
        <f>_xlfn.IFNA(VLOOKUP($C89&amp;","&amp;U3,汇编指令!$C$2:$D$235,2,FALSE),"-1")</f>
        <v>-1</v>
      </c>
      <c r="V89" s="32" t="str">
        <f>_xlfn.IFNA(VLOOKUP($C89&amp;","&amp;V3,汇编指令!$C$2:$D$235,2,FALSE),"-1")</f>
        <v>-1</v>
      </c>
      <c r="W89" s="32" t="str">
        <f>_xlfn.IFNA(VLOOKUP($C89&amp;","&amp;W3,汇编指令!$C$2:$D$235,2,FALSE),"-1")</f>
        <v>-1</v>
      </c>
      <c r="X89" s="32" t="str">
        <f>_xlfn.IFNA(VLOOKUP($C89&amp;","&amp;X3,汇编指令!$C$2:$D$235,2,FALSE),"-1")</f>
        <v>-1</v>
      </c>
      <c r="Y89" s="32" t="str">
        <f>_xlfn.IFNA(VLOOKUP($C89&amp;","&amp;Y3,汇编指令!$C$2:$D$235,2,FALSE),"-1")</f>
        <v>-1</v>
      </c>
      <c r="Z89" s="32" t="str">
        <f>_xlfn.IFNA(VLOOKUP($C89&amp;","&amp;Z3,汇编指令!$C$2:$D$235,2,FALSE),"-1")</f>
        <v>-1</v>
      </c>
      <c r="AA89" s="32" t="str">
        <f>_xlfn.IFNA(VLOOKUP($C89&amp;","&amp;AA3,汇编指令!$C$2:$D$235,2,FALSE),"-1")</f>
        <v>-1</v>
      </c>
      <c r="AB89" s="53" t="str">
        <f>_xlfn.IFNA(VLOOKUP($C89&amp;","&amp;AB3,汇编指令!$C$2:$D$235,2,FALSE),"-1")</f>
        <v>-1</v>
      </c>
    </row>
    <row r="90" ht="20" customHeight="1" spans="1:28">
      <c r="A90" s="16">
        <v>2</v>
      </c>
      <c r="B90" s="21">
        <f t="shared" si="15"/>
        <v>86</v>
      </c>
      <c r="C90" s="24" t="s">
        <v>1005</v>
      </c>
      <c r="D90" s="23" t="str">
        <f t="shared" si="14"/>
        <v>56</v>
      </c>
      <c r="E90" s="31" t="str">
        <f>_xlfn.IFNA(VLOOKUP($C90&amp;","&amp;E3,汇编指令!$C$2:$D$235,2,FALSE),"-1")</f>
        <v>F2</v>
      </c>
      <c r="F90" s="32" t="str">
        <f>_xlfn.IFNA(VLOOKUP($C90&amp;","&amp;F3,汇编指令!$C$2:$D$235,2,FALSE),"-1")</f>
        <v>-1</v>
      </c>
      <c r="G90" s="32" t="str">
        <f>_xlfn.IFNA(VLOOKUP($C90&amp;","&amp;G3,汇编指令!$C$2:$D$235,2,FALSE),"-1")</f>
        <v>-1</v>
      </c>
      <c r="H90" s="32" t="str">
        <f>_xlfn.IFNA(VLOOKUP($C90&amp;","&amp;H3,汇编指令!$C$2:$D$235,2,FALSE),"-1")</f>
        <v>-1</v>
      </c>
      <c r="I90" s="32" t="str">
        <f>_xlfn.IFNA(VLOOKUP($C90&amp;","&amp;I3,汇编指令!$C$2:$D$235,2,FALSE),"-1")</f>
        <v>-1</v>
      </c>
      <c r="J90" s="32" t="str">
        <f>_xlfn.IFNA(VLOOKUP($C90&amp;","&amp;J3,汇编指令!$C$2:$D$235,2,FALSE),"-1")</f>
        <v>-1</v>
      </c>
      <c r="K90" s="32" t="str">
        <f>_xlfn.IFNA(VLOOKUP($C90&amp;","&amp;K3,汇编指令!$C$2:$D$235,2,FALSE),"-1")</f>
        <v>-1</v>
      </c>
      <c r="L90" s="32" t="str">
        <f>_xlfn.IFNA(VLOOKUP($C90&amp;","&amp;L3,汇编指令!$C$2:$D$235,2,FALSE),"-1")</f>
        <v>-1</v>
      </c>
      <c r="M90" s="32" t="str">
        <f>_xlfn.IFNA(VLOOKUP($C90&amp;","&amp;M3,汇编指令!$C$2:$D$235,2,FALSE),"-1")</f>
        <v>-1</v>
      </c>
      <c r="N90" s="32" t="str">
        <f>_xlfn.IFNA(VLOOKUP($C90&amp;","&amp;N3,汇编指令!$C$2:$D$235,2,FALSE),"-1")</f>
        <v>-1</v>
      </c>
      <c r="O90" s="32" t="str">
        <f>_xlfn.IFNA(VLOOKUP($C90&amp;","&amp;O3,汇编指令!$C$2:$D$235,2,FALSE),"-1")</f>
        <v>-1</v>
      </c>
      <c r="P90" s="32" t="str">
        <f>_xlfn.IFNA(VLOOKUP($C90&amp;","&amp;P3,汇编指令!$C$2:$D$235,2,FALSE),"-1")</f>
        <v>-1</v>
      </c>
      <c r="Q90" s="32" t="str">
        <f>_xlfn.IFNA(VLOOKUP($C90&amp;","&amp;Q3,汇编指令!$C$2:$D$235,2,FALSE),"-1")</f>
        <v>-1</v>
      </c>
      <c r="R90" s="32" t="str">
        <f>_xlfn.IFNA(VLOOKUP($C90&amp;","&amp;R3,汇编指令!$C$2:$D$235,2,FALSE),"-1")</f>
        <v>-1</v>
      </c>
      <c r="S90" s="32" t="str">
        <f>_xlfn.IFNA(VLOOKUP($C90&amp;","&amp;S3,汇编指令!$C$2:$D$235,2,FALSE),"-1")</f>
        <v>-1</v>
      </c>
      <c r="T90" s="32" t="str">
        <f>_xlfn.IFNA(VLOOKUP($C90&amp;","&amp;T3,汇编指令!$C$2:$D$235,2,FALSE),"-1")</f>
        <v>-1</v>
      </c>
      <c r="U90" s="32" t="str">
        <f>_xlfn.IFNA(VLOOKUP($C90&amp;","&amp;U3,汇编指令!$C$2:$D$235,2,FALSE),"-1")</f>
        <v>-1</v>
      </c>
      <c r="V90" s="32" t="str">
        <f>_xlfn.IFNA(VLOOKUP($C90&amp;","&amp;V3,汇编指令!$C$2:$D$235,2,FALSE),"-1")</f>
        <v>-1</v>
      </c>
      <c r="W90" s="32" t="str">
        <f>_xlfn.IFNA(VLOOKUP($C90&amp;","&amp;W3,汇编指令!$C$2:$D$235,2,FALSE),"-1")</f>
        <v>-1</v>
      </c>
      <c r="X90" s="32" t="str">
        <f>_xlfn.IFNA(VLOOKUP($C90&amp;","&amp;X3,汇编指令!$C$2:$D$235,2,FALSE),"-1")</f>
        <v>-1</v>
      </c>
      <c r="Y90" s="32" t="str">
        <f>_xlfn.IFNA(VLOOKUP($C90&amp;","&amp;Y3,汇编指令!$C$2:$D$235,2,FALSE),"-1")</f>
        <v>-1</v>
      </c>
      <c r="Z90" s="32" t="str">
        <f>_xlfn.IFNA(VLOOKUP($C90&amp;","&amp;Z3,汇编指令!$C$2:$D$235,2,FALSE),"-1")</f>
        <v>-1</v>
      </c>
      <c r="AA90" s="32" t="str">
        <f>_xlfn.IFNA(VLOOKUP($C90&amp;","&amp;AA3,汇编指令!$C$2:$D$235,2,FALSE),"-1")</f>
        <v>-1</v>
      </c>
      <c r="AB90" s="53" t="str">
        <f>_xlfn.IFNA(VLOOKUP($C90&amp;","&amp;AB3,汇编指令!$C$2:$D$235,2,FALSE),"-1")</f>
        <v>-1</v>
      </c>
    </row>
    <row r="91" ht="20" customHeight="1" spans="1:28">
      <c r="A91" s="16">
        <v>2</v>
      </c>
      <c r="B91" s="21">
        <f t="shared" si="15"/>
        <v>87</v>
      </c>
      <c r="C91" s="24" t="s">
        <v>1006</v>
      </c>
      <c r="D91" s="23" t="str">
        <f t="shared" si="14"/>
        <v>57</v>
      </c>
      <c r="E91" s="31" t="str">
        <f>_xlfn.IFNA(VLOOKUP($C91&amp;","&amp;E3,汇编指令!$C$2:$D$235,2,FALSE),"-1")</f>
        <v>F3</v>
      </c>
      <c r="F91" s="32" t="str">
        <f>_xlfn.IFNA(VLOOKUP($C91&amp;","&amp;F3,汇编指令!$C$2:$D$235,2,FALSE),"-1")</f>
        <v>-1</v>
      </c>
      <c r="G91" s="32" t="str">
        <f>_xlfn.IFNA(VLOOKUP($C91&amp;","&amp;G3,汇编指令!$C$2:$D$235,2,FALSE),"-1")</f>
        <v>-1</v>
      </c>
      <c r="H91" s="32" t="str">
        <f>_xlfn.IFNA(VLOOKUP($C91&amp;","&amp;H3,汇编指令!$C$2:$D$235,2,FALSE),"-1")</f>
        <v>-1</v>
      </c>
      <c r="I91" s="32" t="str">
        <f>_xlfn.IFNA(VLOOKUP($C91&amp;","&amp;I3,汇编指令!$C$2:$D$235,2,FALSE),"-1")</f>
        <v>-1</v>
      </c>
      <c r="J91" s="32" t="str">
        <f>_xlfn.IFNA(VLOOKUP($C91&amp;","&amp;J3,汇编指令!$C$2:$D$235,2,FALSE),"-1")</f>
        <v>-1</v>
      </c>
      <c r="K91" s="32" t="str">
        <f>_xlfn.IFNA(VLOOKUP($C91&amp;","&amp;K3,汇编指令!$C$2:$D$235,2,FALSE),"-1")</f>
        <v>-1</v>
      </c>
      <c r="L91" s="32" t="str">
        <f>_xlfn.IFNA(VLOOKUP($C91&amp;","&amp;L3,汇编指令!$C$2:$D$235,2,FALSE),"-1")</f>
        <v>-1</v>
      </c>
      <c r="M91" s="32" t="str">
        <f>_xlfn.IFNA(VLOOKUP($C91&amp;","&amp;M3,汇编指令!$C$2:$D$235,2,FALSE),"-1")</f>
        <v>-1</v>
      </c>
      <c r="N91" s="32" t="str">
        <f>_xlfn.IFNA(VLOOKUP($C91&amp;","&amp;N3,汇编指令!$C$2:$D$235,2,FALSE),"-1")</f>
        <v>-1</v>
      </c>
      <c r="O91" s="32" t="str">
        <f>_xlfn.IFNA(VLOOKUP($C91&amp;","&amp;O3,汇编指令!$C$2:$D$235,2,FALSE),"-1")</f>
        <v>-1</v>
      </c>
      <c r="P91" s="32" t="str">
        <f>_xlfn.IFNA(VLOOKUP($C91&amp;","&amp;P3,汇编指令!$C$2:$D$235,2,FALSE),"-1")</f>
        <v>-1</v>
      </c>
      <c r="Q91" s="32" t="str">
        <f>_xlfn.IFNA(VLOOKUP($C91&amp;","&amp;Q3,汇编指令!$C$2:$D$235,2,FALSE),"-1")</f>
        <v>-1</v>
      </c>
      <c r="R91" s="32" t="str">
        <f>_xlfn.IFNA(VLOOKUP($C91&amp;","&amp;R3,汇编指令!$C$2:$D$235,2,FALSE),"-1")</f>
        <v>-1</v>
      </c>
      <c r="S91" s="32" t="str">
        <f>_xlfn.IFNA(VLOOKUP($C91&amp;","&amp;S3,汇编指令!$C$2:$D$235,2,FALSE),"-1")</f>
        <v>-1</v>
      </c>
      <c r="T91" s="32" t="str">
        <f>_xlfn.IFNA(VLOOKUP($C91&amp;","&amp;T3,汇编指令!$C$2:$D$235,2,FALSE),"-1")</f>
        <v>-1</v>
      </c>
      <c r="U91" s="32" t="str">
        <f>_xlfn.IFNA(VLOOKUP($C91&amp;","&amp;U3,汇编指令!$C$2:$D$235,2,FALSE),"-1")</f>
        <v>-1</v>
      </c>
      <c r="V91" s="32" t="str">
        <f>_xlfn.IFNA(VLOOKUP($C91&amp;","&amp;V3,汇编指令!$C$2:$D$235,2,FALSE),"-1")</f>
        <v>-1</v>
      </c>
      <c r="W91" s="32" t="str">
        <f>_xlfn.IFNA(VLOOKUP($C91&amp;","&amp;W3,汇编指令!$C$2:$D$235,2,FALSE),"-1")</f>
        <v>-1</v>
      </c>
      <c r="X91" s="32" t="str">
        <f>_xlfn.IFNA(VLOOKUP($C91&amp;","&amp;X3,汇编指令!$C$2:$D$235,2,FALSE),"-1")</f>
        <v>-1</v>
      </c>
      <c r="Y91" s="32" t="str">
        <f>_xlfn.IFNA(VLOOKUP($C91&amp;","&amp;Y3,汇编指令!$C$2:$D$235,2,FALSE),"-1")</f>
        <v>-1</v>
      </c>
      <c r="Z91" s="32" t="str">
        <f>_xlfn.IFNA(VLOOKUP($C91&amp;","&amp;Z3,汇编指令!$C$2:$D$235,2,FALSE),"-1")</f>
        <v>-1</v>
      </c>
      <c r="AA91" s="32" t="str">
        <f>_xlfn.IFNA(VLOOKUP($C91&amp;","&amp;AA3,汇编指令!$C$2:$D$235,2,FALSE),"-1")</f>
        <v>-1</v>
      </c>
      <c r="AB91" s="53" t="str">
        <f>_xlfn.IFNA(VLOOKUP($C91&amp;","&amp;AB3,汇编指令!$C$2:$D$235,2,FALSE),"-1")</f>
        <v>-1</v>
      </c>
    </row>
    <row r="92" ht="20" customHeight="1" spans="1:28">
      <c r="A92" s="16">
        <v>2</v>
      </c>
      <c r="B92" s="21">
        <f t="shared" si="15"/>
        <v>88</v>
      </c>
      <c r="C92" s="24" t="s">
        <v>1007</v>
      </c>
      <c r="D92" s="23" t="str">
        <f t="shared" si="14"/>
        <v>58</v>
      </c>
      <c r="E92" s="34" t="str">
        <f>_xlfn.IFNA(VLOOKUP($C92&amp;","&amp;E3,汇编指令!$C$2:$D$235,2,FALSE),"-1")</f>
        <v>-1</v>
      </c>
      <c r="F92" s="32" t="str">
        <f>_xlfn.IFNA(VLOOKUP($C92&amp;","&amp;F3,汇编指令!$C$2:$D$235,2,FALSE),"-1")</f>
        <v>-1</v>
      </c>
      <c r="G92" s="32" t="str">
        <f>_xlfn.IFNA(VLOOKUP($C92&amp;","&amp;G3,汇编指令!$C$2:$D$235,2,FALSE),"-1")</f>
        <v>-1</v>
      </c>
      <c r="H92" s="32" t="str">
        <f>_xlfn.IFNA(VLOOKUP($C92&amp;","&amp;H3,汇编指令!$C$2:$D$235,2,FALSE),"-1")</f>
        <v>-1</v>
      </c>
      <c r="I92" s="32" t="str">
        <f>_xlfn.IFNA(VLOOKUP($C92&amp;","&amp;I3,汇编指令!$C$2:$D$235,2,FALSE),"-1")</f>
        <v>-1</v>
      </c>
      <c r="J92" s="32" t="str">
        <f>_xlfn.IFNA(VLOOKUP($C92&amp;","&amp;J3,汇编指令!$C$2:$D$235,2,FALSE),"-1")</f>
        <v>-1</v>
      </c>
      <c r="K92" s="32" t="str">
        <f>_xlfn.IFNA(VLOOKUP($C92&amp;","&amp;K3,汇编指令!$C$2:$D$235,2,FALSE),"-1")</f>
        <v>-1</v>
      </c>
      <c r="L92" s="32" t="str">
        <f>_xlfn.IFNA(VLOOKUP($C92&amp;","&amp;L3,汇编指令!$C$2:$D$235,2,FALSE),"-1")</f>
        <v>-1</v>
      </c>
      <c r="M92" s="32" t="str">
        <f>_xlfn.IFNA(VLOOKUP($C92&amp;","&amp;M3,汇编指令!$C$2:$D$235,2,FALSE),"-1")</f>
        <v>-1</v>
      </c>
      <c r="N92" s="32" t="str">
        <f>_xlfn.IFNA(VLOOKUP($C92&amp;","&amp;N3,汇编指令!$C$2:$D$235,2,FALSE),"-1")</f>
        <v>-1</v>
      </c>
      <c r="O92" s="32" t="str">
        <f>_xlfn.IFNA(VLOOKUP($C92&amp;","&amp;O3,汇编指令!$C$2:$D$235,2,FALSE),"-1")</f>
        <v>-1</v>
      </c>
      <c r="P92" s="33" t="str">
        <f>_xlfn.IFNA(VLOOKUP($C92&amp;","&amp;P3,汇编指令!$C$2:$D$235,2,FALSE),"-1")</f>
        <v>E2</v>
      </c>
      <c r="Q92" s="33" t="str">
        <f>_xlfn.IFNA(VLOOKUP($C92&amp;","&amp;Q3,汇编指令!$C$2:$D$235,2,FALSE),"-1")</f>
        <v>E3</v>
      </c>
      <c r="R92" s="32" t="str">
        <f>_xlfn.IFNA(VLOOKUP($C92&amp;","&amp;R3,汇编指令!$C$2:$D$235,2,FALSE),"-1")</f>
        <v>-1</v>
      </c>
      <c r="S92" s="32" t="str">
        <f>_xlfn.IFNA(VLOOKUP($C92&amp;","&amp;S3,汇编指令!$C$2:$D$235,2,FALSE),"-1")</f>
        <v>-1</v>
      </c>
      <c r="T92" s="32" t="str">
        <f>_xlfn.IFNA(VLOOKUP($C92&amp;","&amp;T3,汇编指令!$C$2:$D$235,2,FALSE),"-1")</f>
        <v>-1</v>
      </c>
      <c r="U92" s="32" t="str">
        <f>_xlfn.IFNA(VLOOKUP($C92&amp;","&amp;U3,汇编指令!$C$2:$D$235,2,FALSE),"-1")</f>
        <v>-1</v>
      </c>
      <c r="V92" s="33" t="str">
        <f>_xlfn.IFNA(VLOOKUP($C92&amp;","&amp;V3,汇编指令!$C$2:$D$235,2,FALSE),"-1")</f>
        <v>E0</v>
      </c>
      <c r="W92" s="32" t="str">
        <f>_xlfn.IFNA(VLOOKUP($C92&amp;","&amp;W3,汇编指令!$C$2:$D$235,2,FALSE),"-1")</f>
        <v>-1</v>
      </c>
      <c r="X92" s="32" t="str">
        <f>_xlfn.IFNA(VLOOKUP($C92&amp;","&amp;X3,汇编指令!$C$2:$D$235,2,FALSE),"-1")</f>
        <v>-1</v>
      </c>
      <c r="Y92" s="32" t="str">
        <f>_xlfn.IFNA(VLOOKUP($C92&amp;","&amp;Y3,汇编指令!$C$2:$D$235,2,FALSE),"-1")</f>
        <v>-1</v>
      </c>
      <c r="Z92" s="32" t="str">
        <f>_xlfn.IFNA(VLOOKUP($C92&amp;","&amp;Z3,汇编指令!$C$2:$D$235,2,FALSE),"-1")</f>
        <v>-1</v>
      </c>
      <c r="AA92" s="32" t="str">
        <f>_xlfn.IFNA(VLOOKUP($C92&amp;","&amp;AA3,汇编指令!$C$2:$D$235,2,FALSE),"-1")</f>
        <v>-1</v>
      </c>
      <c r="AB92" s="53" t="str">
        <f>_xlfn.IFNA(VLOOKUP($C92&amp;","&amp;AB3,汇编指令!$C$2:$D$235,2,FALSE),"-1")</f>
        <v>-1</v>
      </c>
    </row>
    <row r="93" ht="20" customHeight="1" spans="1:28">
      <c r="A93" s="16">
        <v>2</v>
      </c>
      <c r="B93" s="21">
        <f t="shared" si="15"/>
        <v>89</v>
      </c>
      <c r="C93" s="24" t="s">
        <v>1008</v>
      </c>
      <c r="D93" s="23" t="str">
        <f t="shared" si="14"/>
        <v>59</v>
      </c>
      <c r="E93" s="34" t="str">
        <f>_xlfn.IFNA(VLOOKUP($C93&amp;","&amp;E3,汇编指令!$C$2:$D$235,2,FALSE),"-1")</f>
        <v>-1</v>
      </c>
      <c r="F93" s="33" t="str">
        <f>_xlfn.IFNA(VLOOKUP($C93&amp;","&amp;F3,汇编指令!$C$2:$D$235,2,FALSE),"-1")</f>
        <v>48</v>
      </c>
      <c r="G93" s="33" t="str">
        <f>_xlfn.IFNA(VLOOKUP($C93&amp;","&amp;G3,汇编指令!$C$2:$D$235,2,FALSE),"-1")</f>
        <v>49</v>
      </c>
      <c r="H93" s="33" t="str">
        <f>_xlfn.IFNA(VLOOKUP($C93&amp;","&amp;H3,汇编指令!$C$2:$D$235,2,FALSE),"-1")</f>
        <v>4A</v>
      </c>
      <c r="I93" s="33" t="str">
        <f>_xlfn.IFNA(VLOOKUP($C93&amp;","&amp;I3,汇编指令!$C$2:$D$235,2,FALSE),"-1")</f>
        <v>4B</v>
      </c>
      <c r="J93" s="33" t="str">
        <f>_xlfn.IFNA(VLOOKUP($C93&amp;","&amp;J3,汇编指令!$C$2:$D$235,2,FALSE),"-1")</f>
        <v>4C</v>
      </c>
      <c r="K93" s="33" t="str">
        <f>_xlfn.IFNA(VLOOKUP($C93&amp;","&amp;K3,汇编指令!$C$2:$D$235,2,FALSE),"-1")</f>
        <v>4D</v>
      </c>
      <c r="L93" s="33" t="str">
        <f>_xlfn.IFNA(VLOOKUP($C93&amp;","&amp;L3,汇编指令!$C$2:$D$235,2,FALSE),"-1")</f>
        <v>4E</v>
      </c>
      <c r="M93" s="33" t="str">
        <f>_xlfn.IFNA(VLOOKUP($C93&amp;","&amp;M3,汇编指令!$C$2:$D$235,2,FALSE),"-1")</f>
        <v>4F</v>
      </c>
      <c r="N93" s="33" t="str">
        <f>_xlfn.IFNA(VLOOKUP($C93&amp;","&amp;N3,汇编指令!$C$2:$D$235,2,FALSE),"-1")</f>
        <v>44</v>
      </c>
      <c r="O93" s="33" t="str">
        <f>_xlfn.IFNA(VLOOKUP($C93&amp;","&amp;O3,汇编指令!$C$2:$D$235,2,FALSE),"-1")</f>
        <v>45</v>
      </c>
      <c r="P93" s="33" t="str">
        <f>_xlfn.IFNA(VLOOKUP($C93&amp;","&amp;P3,汇编指令!$C$2:$D$235,2,FALSE),"-1")</f>
        <v>46</v>
      </c>
      <c r="Q93" s="33" t="str">
        <f>_xlfn.IFNA(VLOOKUP($C93&amp;","&amp;Q3,汇编指令!$C$2:$D$235,2,FALSE),"-1")</f>
        <v>47</v>
      </c>
      <c r="R93" s="32" t="str">
        <f>_xlfn.IFNA(VLOOKUP($C93&amp;","&amp;R3,汇编指令!$C$2:$D$235,2,FALSE),"-1")</f>
        <v>-1</v>
      </c>
      <c r="S93" s="32" t="str">
        <f>_xlfn.IFNA(VLOOKUP($C93&amp;","&amp;S3,汇编指令!$C$2:$D$235,2,FALSE),"-1")</f>
        <v>-1</v>
      </c>
      <c r="T93" s="32" t="str">
        <f>_xlfn.IFNA(VLOOKUP($C93&amp;","&amp;T3,汇编指令!$C$2:$D$235,2,FALSE),"-1")</f>
        <v>-1</v>
      </c>
      <c r="U93" s="32" t="str">
        <f>_xlfn.IFNA(VLOOKUP($C93&amp;","&amp;U3,汇编指令!$C$2:$D$235,2,FALSE),"-1")</f>
        <v>-1</v>
      </c>
      <c r="V93" s="32" t="str">
        <f>_xlfn.IFNA(VLOOKUP($C93&amp;","&amp;V3,汇编指令!$C$2:$D$235,2,FALSE),"-1")</f>
        <v>-1</v>
      </c>
      <c r="W93" s="32" t="str">
        <f>_xlfn.IFNA(VLOOKUP($C93&amp;","&amp;W3,汇编指令!$C$2:$D$235,2,FALSE),"-1")</f>
        <v>-1</v>
      </c>
      <c r="X93" s="32" t="str">
        <f>_xlfn.IFNA(VLOOKUP($C93&amp;","&amp;X3,汇编指令!$C$2:$D$235,2,FALSE),"-1")</f>
        <v>-1</v>
      </c>
      <c r="Y93" s="32" t="str">
        <f>_xlfn.IFNA(VLOOKUP($C93&amp;","&amp;Y3,汇编指令!$C$2:$D$235,2,FALSE),"-1")</f>
        <v>-1</v>
      </c>
      <c r="Z93" s="32" t="str">
        <f>_xlfn.IFNA(VLOOKUP($C93&amp;","&amp;Z3,汇编指令!$C$2:$D$235,2,FALSE),"-1")</f>
        <v>-1</v>
      </c>
      <c r="AA93" s="32" t="str">
        <f>_xlfn.IFNA(VLOOKUP($C93&amp;","&amp;AA3,汇编指令!$C$2:$D$235,2,FALSE),"-1")</f>
        <v>-1</v>
      </c>
      <c r="AB93" s="53" t="str">
        <f>_xlfn.IFNA(VLOOKUP($C93&amp;","&amp;AB3,汇编指令!$C$2:$D$235,2,FALSE),"-1")</f>
        <v>-1</v>
      </c>
    </row>
    <row r="94" ht="20" customHeight="1" spans="1:28">
      <c r="A94" s="16">
        <v>2</v>
      </c>
      <c r="B94" s="21">
        <f t="shared" si="15"/>
        <v>90</v>
      </c>
      <c r="C94" s="24" t="s">
        <v>1009</v>
      </c>
      <c r="D94" s="23" t="str">
        <f t="shared" si="14"/>
        <v>5A</v>
      </c>
      <c r="E94" s="34" t="str">
        <f>_xlfn.IFNA(VLOOKUP($C94&amp;","&amp;E3,汇编指令!$C$2:$D$235,2,FALSE),"-1")</f>
        <v>-1</v>
      </c>
      <c r="F94" s="32" t="str">
        <f>_xlfn.IFNA(VLOOKUP($C94&amp;","&amp;F3,汇编指令!$C$2:$D$235,2,FALSE),"-1")</f>
        <v>-1</v>
      </c>
      <c r="G94" s="32" t="str">
        <f>_xlfn.IFNA(VLOOKUP($C94&amp;","&amp;G3,汇编指令!$C$2:$D$235,2,FALSE),"-1")</f>
        <v>-1</v>
      </c>
      <c r="H94" s="32" t="str">
        <f>_xlfn.IFNA(VLOOKUP($C94&amp;","&amp;H3,汇编指令!$C$2:$D$235,2,FALSE),"-1")</f>
        <v>-1</v>
      </c>
      <c r="I94" s="32" t="str">
        <f>_xlfn.IFNA(VLOOKUP($C94&amp;","&amp;I3,汇编指令!$C$2:$D$235,2,FALSE),"-1")</f>
        <v>-1</v>
      </c>
      <c r="J94" s="32" t="str">
        <f>_xlfn.IFNA(VLOOKUP($C94&amp;","&amp;J3,汇编指令!$C$2:$D$235,2,FALSE),"-1")</f>
        <v>-1</v>
      </c>
      <c r="K94" s="32" t="str">
        <f>_xlfn.IFNA(VLOOKUP($C94&amp;","&amp;K3,汇编指令!$C$2:$D$235,2,FALSE),"-1")</f>
        <v>-1</v>
      </c>
      <c r="L94" s="32" t="str">
        <f>_xlfn.IFNA(VLOOKUP($C94&amp;","&amp;L3,汇编指令!$C$2:$D$235,2,FALSE),"-1")</f>
        <v>-1</v>
      </c>
      <c r="M94" s="32" t="str">
        <f>_xlfn.IFNA(VLOOKUP($C94&amp;","&amp;M3,汇编指令!$C$2:$D$235,2,FALSE),"-1")</f>
        <v>-1</v>
      </c>
      <c r="N94" s="32" t="str">
        <f>_xlfn.IFNA(VLOOKUP($C94&amp;","&amp;N3,汇编指令!$C$2:$D$235,2,FALSE),"-1")</f>
        <v>-1</v>
      </c>
      <c r="O94" s="32" t="str">
        <f>_xlfn.IFNA(VLOOKUP($C94&amp;","&amp;O3,汇编指令!$C$2:$D$235,2,FALSE),"-1")</f>
        <v>-1</v>
      </c>
      <c r="P94" s="32" t="str">
        <f>_xlfn.IFNA(VLOOKUP($C94&amp;","&amp;P3,汇编指令!$C$2:$D$235,2,FALSE),"-1")</f>
        <v>-1</v>
      </c>
      <c r="Q94" s="32" t="str">
        <f>_xlfn.IFNA(VLOOKUP($C94&amp;","&amp;Q3,汇编指令!$C$2:$D$235,2,FALSE),"-1")</f>
        <v>-1</v>
      </c>
      <c r="R94" s="32" t="str">
        <f>_xlfn.IFNA(VLOOKUP($C94&amp;","&amp;R3,汇编指令!$C$2:$D$235,2,FALSE),"-1")</f>
        <v>-1</v>
      </c>
      <c r="S94" s="32" t="str">
        <f>_xlfn.IFNA(VLOOKUP($C94&amp;","&amp;S3,汇编指令!$C$2:$D$235,2,FALSE),"-1")</f>
        <v>-1</v>
      </c>
      <c r="T94" s="32" t="str">
        <f>_xlfn.IFNA(VLOOKUP($C94&amp;","&amp;T3,汇编指令!$C$2:$D$235,2,FALSE),"-1")</f>
        <v>-1</v>
      </c>
      <c r="U94" s="32" t="str">
        <f>_xlfn.IFNA(VLOOKUP($C94&amp;","&amp;U3,汇编指令!$C$2:$D$235,2,FALSE),"-1")</f>
        <v>-1</v>
      </c>
      <c r="V94" s="32" t="str">
        <f>_xlfn.IFNA(VLOOKUP($C94&amp;","&amp;V3,汇编指令!$C$2:$D$235,2,FALSE),"-1")</f>
        <v>-1</v>
      </c>
      <c r="W94" s="32" t="str">
        <f>_xlfn.IFNA(VLOOKUP($C94&amp;","&amp;W3,汇编指令!$C$2:$D$235,2,FALSE),"-1")</f>
        <v>-1</v>
      </c>
      <c r="X94" s="32" t="str">
        <f>_xlfn.IFNA(VLOOKUP($C94&amp;","&amp;X3,汇编指令!$C$2:$D$235,2,FALSE),"-1")</f>
        <v>-1</v>
      </c>
      <c r="Y94" s="33" t="str">
        <f>_xlfn.IFNA(VLOOKUP($C94&amp;","&amp;Y3,汇编指令!$C$2:$D$235,2,FALSE),"-1")</f>
        <v>72</v>
      </c>
      <c r="Z94" s="32" t="str">
        <f>_xlfn.IFNA(VLOOKUP($C94&amp;","&amp;Z3,汇编指令!$C$2:$D$235,2,FALSE),"-1")</f>
        <v>-1</v>
      </c>
      <c r="AA94" s="32" t="str">
        <f>_xlfn.IFNA(VLOOKUP($C94&amp;","&amp;AA3,汇编指令!$C$2:$D$235,2,FALSE),"-1")</f>
        <v>-1</v>
      </c>
      <c r="AB94" s="54" t="str">
        <f>_xlfn.IFNA(VLOOKUP($C94&amp;","&amp;AB3,汇编指令!$C$2:$D$235,2,FALSE),"-1")</f>
        <v>A0</v>
      </c>
    </row>
    <row r="95" ht="20" customHeight="1" spans="1:28">
      <c r="A95" s="16">
        <v>2</v>
      </c>
      <c r="B95" s="21">
        <f t="shared" si="15"/>
        <v>91</v>
      </c>
      <c r="C95" s="24" t="s">
        <v>1010</v>
      </c>
      <c r="D95" s="23" t="str">
        <f t="shared" si="14"/>
        <v>5B</v>
      </c>
      <c r="E95" s="34" t="str">
        <f>_xlfn.IFNA(VLOOKUP($C95&amp;","&amp;E3,汇编指令!$C$2:$D$235,2,FALSE),"-1")</f>
        <v>-1</v>
      </c>
      <c r="F95" s="32" t="str">
        <f>_xlfn.IFNA(VLOOKUP($C95&amp;","&amp;F3,汇编指令!$C$2:$D$235,2,FALSE),"-1")</f>
        <v>-1</v>
      </c>
      <c r="G95" s="32" t="str">
        <f>_xlfn.IFNA(VLOOKUP($C95&amp;","&amp;G3,汇编指令!$C$2:$D$235,2,FALSE),"-1")</f>
        <v>-1</v>
      </c>
      <c r="H95" s="32" t="str">
        <f>_xlfn.IFNA(VLOOKUP($C95&amp;","&amp;H3,汇编指令!$C$2:$D$235,2,FALSE),"-1")</f>
        <v>-1</v>
      </c>
      <c r="I95" s="32" t="str">
        <f>_xlfn.IFNA(VLOOKUP($C95&amp;","&amp;I3,汇编指令!$C$2:$D$235,2,FALSE),"-1")</f>
        <v>-1</v>
      </c>
      <c r="J95" s="32" t="str">
        <f>_xlfn.IFNA(VLOOKUP($C95&amp;","&amp;J3,汇编指令!$C$2:$D$235,2,FALSE),"-1")</f>
        <v>-1</v>
      </c>
      <c r="K95" s="32" t="str">
        <f>_xlfn.IFNA(VLOOKUP($C95&amp;","&amp;K3,汇编指令!$C$2:$D$235,2,FALSE),"-1")</f>
        <v>-1</v>
      </c>
      <c r="L95" s="32" t="str">
        <f>_xlfn.IFNA(VLOOKUP($C95&amp;","&amp;L3,汇编指令!$C$2:$D$235,2,FALSE),"-1")</f>
        <v>-1</v>
      </c>
      <c r="M95" s="32" t="str">
        <f>_xlfn.IFNA(VLOOKUP($C95&amp;","&amp;M3,汇编指令!$C$2:$D$235,2,FALSE),"-1")</f>
        <v>-1</v>
      </c>
      <c r="N95" s="33" t="str">
        <f>_xlfn.IFNA(VLOOKUP($C95&amp;","&amp;N3,汇编指令!$C$2:$D$235,2,FALSE),"-1")</f>
        <v>42</v>
      </c>
      <c r="O95" s="32" t="str">
        <f>_xlfn.IFNA(VLOOKUP($C95&amp;","&amp;O3,汇编指令!$C$2:$D$235,2,FALSE),"-1")</f>
        <v>-1</v>
      </c>
      <c r="P95" s="32" t="str">
        <f>_xlfn.IFNA(VLOOKUP($C95&amp;","&amp;P3,汇编指令!$C$2:$D$235,2,FALSE),"-1")</f>
        <v>-1</v>
      </c>
      <c r="Q95" s="32" t="str">
        <f>_xlfn.IFNA(VLOOKUP($C95&amp;","&amp;Q3,汇编指令!$C$2:$D$235,2,FALSE),"-1")</f>
        <v>-1</v>
      </c>
      <c r="R95" s="32" t="str">
        <f>_xlfn.IFNA(VLOOKUP($C95&amp;","&amp;R3,汇编指令!$C$2:$D$235,2,FALSE),"-1")</f>
        <v>-1</v>
      </c>
      <c r="S95" s="32" t="str">
        <f>_xlfn.IFNA(VLOOKUP($C95&amp;","&amp;S3,汇编指令!$C$2:$D$235,2,FALSE),"-1")</f>
        <v>-1</v>
      </c>
      <c r="T95" s="32" t="str">
        <f>_xlfn.IFNA(VLOOKUP($C95&amp;","&amp;T3,汇编指令!$C$2:$D$235,2,FALSE),"-1")</f>
        <v>-1</v>
      </c>
      <c r="U95" s="32" t="str">
        <f>_xlfn.IFNA(VLOOKUP($C95&amp;","&amp;U3,汇编指令!$C$2:$D$235,2,FALSE),"-1")</f>
        <v>-1</v>
      </c>
      <c r="V95" s="32" t="str">
        <f>_xlfn.IFNA(VLOOKUP($C95&amp;","&amp;V3,汇编指令!$C$2:$D$235,2,FALSE),"-1")</f>
        <v>-1</v>
      </c>
      <c r="W95" s="32" t="str">
        <f>_xlfn.IFNA(VLOOKUP($C95&amp;","&amp;W3,汇编指令!$C$2:$D$235,2,FALSE),"-1")</f>
        <v>-1</v>
      </c>
      <c r="X95" s="32" t="str">
        <f>_xlfn.IFNA(VLOOKUP($C95&amp;","&amp;X3,汇编指令!$C$2:$D$235,2,FALSE),"-1")</f>
        <v>-1</v>
      </c>
      <c r="Y95" s="32" t="str">
        <f>_xlfn.IFNA(VLOOKUP($C95&amp;","&amp;Y3,汇编指令!$C$2:$D$235,2,FALSE),"-1")</f>
        <v>-1</v>
      </c>
      <c r="Z95" s="32" t="str">
        <f>_xlfn.IFNA(VLOOKUP($C95&amp;","&amp;Z3,汇编指令!$C$2:$D$235,2,FALSE),"-1")</f>
        <v>-1</v>
      </c>
      <c r="AA95" s="32" t="str">
        <f>_xlfn.IFNA(VLOOKUP($C95&amp;","&amp;AA3,汇编指令!$C$2:$D$235,2,FALSE),"-1")</f>
        <v>-1</v>
      </c>
      <c r="AB95" s="53" t="str">
        <f>_xlfn.IFNA(VLOOKUP($C95&amp;","&amp;AB3,汇编指令!$C$2:$D$235,2,FALSE),"-1")</f>
        <v>-1</v>
      </c>
    </row>
    <row r="96" ht="20" customHeight="1" spans="1:28">
      <c r="A96" s="16">
        <v>2</v>
      </c>
      <c r="B96" s="21">
        <f t="shared" si="15"/>
        <v>92</v>
      </c>
      <c r="C96" s="24" t="s">
        <v>1011</v>
      </c>
      <c r="D96" s="23" t="str">
        <f t="shared" si="14"/>
        <v>5C</v>
      </c>
      <c r="E96" s="34" t="str">
        <f>_xlfn.IFNA(VLOOKUP($C96&amp;","&amp;E3,汇编指令!$C$2:$D$235,2,FALSE),"-1")</f>
        <v>-1</v>
      </c>
      <c r="F96" s="33" t="str">
        <f>_xlfn.IFNA(VLOOKUP($C96&amp;","&amp;F3,汇编指令!$C$2:$D$235,2,FALSE),"-1")</f>
        <v>98</v>
      </c>
      <c r="G96" s="33" t="str">
        <f>_xlfn.IFNA(VLOOKUP($C96&amp;","&amp;G3,汇编指令!$C$2:$D$235,2,FALSE),"-1")</f>
        <v>99</v>
      </c>
      <c r="H96" s="33" t="str">
        <f>_xlfn.IFNA(VLOOKUP($C96&amp;","&amp;H3,汇编指令!$C$2:$D$235,2,FALSE),"-1")</f>
        <v>9A</v>
      </c>
      <c r="I96" s="33" t="str">
        <f>_xlfn.IFNA(VLOOKUP($C96&amp;","&amp;I3,汇编指令!$C$2:$D$235,2,FALSE),"-1")</f>
        <v>9B</v>
      </c>
      <c r="J96" s="33" t="str">
        <f>_xlfn.IFNA(VLOOKUP($C96&amp;","&amp;J3,汇编指令!$C$2:$D$235,2,FALSE),"-1")</f>
        <v>9C</v>
      </c>
      <c r="K96" s="33" t="str">
        <f>_xlfn.IFNA(VLOOKUP($C96&amp;","&amp;K3,汇编指令!$C$2:$D$235,2,FALSE),"-1")</f>
        <v>9D</v>
      </c>
      <c r="L96" s="33" t="str">
        <f>_xlfn.IFNA(VLOOKUP($C96&amp;","&amp;L3,汇编指令!$C$2:$D$235,2,FALSE),"-1")</f>
        <v>9E</v>
      </c>
      <c r="M96" s="33" t="str">
        <f>_xlfn.IFNA(VLOOKUP($C96&amp;","&amp;M3,汇编指令!$C$2:$D$235,2,FALSE),"-1")</f>
        <v>9F</v>
      </c>
      <c r="N96" s="33" t="str">
        <f>_xlfn.IFNA(VLOOKUP($C96&amp;","&amp;N3,汇编指令!$C$2:$D$235,2,FALSE),"-1")</f>
        <v>94</v>
      </c>
      <c r="O96" s="33" t="str">
        <f>_xlfn.IFNA(VLOOKUP($C96&amp;","&amp;O3,汇编指令!$C$2:$D$235,2,FALSE),"-1")</f>
        <v>95</v>
      </c>
      <c r="P96" s="33" t="str">
        <f>_xlfn.IFNA(VLOOKUP($C96&amp;","&amp;P3,汇编指令!$C$2:$D$235,2,FALSE),"-1")</f>
        <v>96</v>
      </c>
      <c r="Q96" s="33" t="str">
        <f>_xlfn.IFNA(VLOOKUP($C96&amp;","&amp;Q3,汇编指令!$C$2:$D$235,2,FALSE),"-1")</f>
        <v>97</v>
      </c>
      <c r="R96" s="32" t="str">
        <f>_xlfn.IFNA(VLOOKUP($C96&amp;","&amp;R3,汇编指令!$C$2:$D$235,2,FALSE),"-1")</f>
        <v>-1</v>
      </c>
      <c r="S96" s="32" t="str">
        <f>_xlfn.IFNA(VLOOKUP($C96&amp;","&amp;S3,汇编指令!$C$2:$D$235,2,FALSE),"-1")</f>
        <v>-1</v>
      </c>
      <c r="T96" s="32" t="str">
        <f>_xlfn.IFNA(VLOOKUP($C96&amp;","&amp;T3,汇编指令!$C$2:$D$235,2,FALSE),"-1")</f>
        <v>-1</v>
      </c>
      <c r="U96" s="32" t="str">
        <f>_xlfn.IFNA(VLOOKUP($C96&amp;","&amp;U3,汇编指令!$C$2:$D$235,2,FALSE),"-1")</f>
        <v>-1</v>
      </c>
      <c r="V96" s="32" t="str">
        <f>_xlfn.IFNA(VLOOKUP($C96&amp;","&amp;V3,汇编指令!$C$2:$D$235,2,FALSE),"-1")</f>
        <v>-1</v>
      </c>
      <c r="W96" s="32" t="str">
        <f>_xlfn.IFNA(VLOOKUP($C96&amp;","&amp;W3,汇编指令!$C$2:$D$235,2,FALSE),"-1")</f>
        <v>-1</v>
      </c>
      <c r="X96" s="32" t="str">
        <f>_xlfn.IFNA(VLOOKUP($C96&amp;","&amp;X3,汇编指令!$C$2:$D$235,2,FALSE),"-1")</f>
        <v>-1</v>
      </c>
      <c r="Y96" s="32" t="str">
        <f>_xlfn.IFNA(VLOOKUP($C96&amp;","&amp;Y3,汇编指令!$C$2:$D$235,2,FALSE),"-1")</f>
        <v>-1</v>
      </c>
      <c r="Z96" s="32" t="str">
        <f>_xlfn.IFNA(VLOOKUP($C96&amp;","&amp;Z3,汇编指令!$C$2:$D$235,2,FALSE),"-1")</f>
        <v>-1</v>
      </c>
      <c r="AA96" s="32" t="str">
        <f>_xlfn.IFNA(VLOOKUP($C96&amp;","&amp;AA3,汇编指令!$C$2:$D$235,2,FALSE),"-1")</f>
        <v>-1</v>
      </c>
      <c r="AB96" s="53" t="str">
        <f>_xlfn.IFNA(VLOOKUP($C96&amp;","&amp;AB3,汇编指令!$C$2:$D$235,2,FALSE),"-1")</f>
        <v>-1</v>
      </c>
    </row>
    <row r="97" ht="20" customHeight="1" spans="1:28">
      <c r="A97" s="16">
        <v>2</v>
      </c>
      <c r="B97" s="21">
        <f t="shared" si="15"/>
        <v>93</v>
      </c>
      <c r="C97" s="24" t="s">
        <v>1012</v>
      </c>
      <c r="D97" s="23" t="str">
        <f t="shared" si="14"/>
        <v>5D</v>
      </c>
      <c r="E97" s="34" t="str">
        <f>_xlfn.IFNA(VLOOKUP($C97&amp;","&amp;E3,汇编指令!$C$2:$D$235,2,FALSE),"-1")</f>
        <v>-1</v>
      </c>
      <c r="F97" s="33" t="str">
        <f>_xlfn.IFNA(VLOOKUP($C97&amp;","&amp;F3,汇编指令!$C$2:$D$235,2,FALSE),"-1")</f>
        <v>C8</v>
      </c>
      <c r="G97" s="33" t="str">
        <f>_xlfn.IFNA(VLOOKUP($C97&amp;","&amp;G3,汇编指令!$C$2:$D$235,2,FALSE),"-1")</f>
        <v>C9</v>
      </c>
      <c r="H97" s="33" t="str">
        <f>_xlfn.IFNA(VLOOKUP($C97&amp;","&amp;H3,汇编指令!$C$2:$D$235,2,FALSE),"-1")</f>
        <v>CA</v>
      </c>
      <c r="I97" s="33" t="str">
        <f>_xlfn.IFNA(VLOOKUP($C97&amp;","&amp;I3,汇编指令!$C$2:$D$235,2,FALSE),"-1")</f>
        <v>CB</v>
      </c>
      <c r="J97" s="33" t="str">
        <f>_xlfn.IFNA(VLOOKUP($C97&amp;","&amp;J3,汇编指令!$C$2:$D$235,2,FALSE),"-1")</f>
        <v>CC</v>
      </c>
      <c r="K97" s="33" t="str">
        <f>_xlfn.IFNA(VLOOKUP($C97&amp;","&amp;K3,汇编指令!$C$2:$D$235,2,FALSE),"-1")</f>
        <v>CD</v>
      </c>
      <c r="L97" s="33" t="str">
        <f>_xlfn.IFNA(VLOOKUP($C97&amp;","&amp;L3,汇编指令!$C$2:$D$235,2,FALSE),"-1")</f>
        <v>CE</v>
      </c>
      <c r="M97" s="33" t="str">
        <f>_xlfn.IFNA(VLOOKUP($C97&amp;","&amp;M3,汇编指令!$C$2:$D$235,2,FALSE),"-1")</f>
        <v>CF</v>
      </c>
      <c r="N97" s="32" t="str">
        <f>_xlfn.IFNA(VLOOKUP($C97&amp;","&amp;N3,汇编指令!$C$2:$D$235,2,FALSE),"-1")</f>
        <v>-1</v>
      </c>
      <c r="O97" s="33" t="str">
        <f>_xlfn.IFNA(VLOOKUP($C97&amp;","&amp;O3,汇编指令!$C$2:$D$235,2,FALSE),"-1")</f>
        <v>C5</v>
      </c>
      <c r="P97" s="33" t="str">
        <f>_xlfn.IFNA(VLOOKUP($C97&amp;","&amp;P3,汇编指令!$C$2:$D$235,2,FALSE),"-1")</f>
        <v>C6</v>
      </c>
      <c r="Q97" s="33" t="str">
        <f>_xlfn.IFNA(VLOOKUP($C97&amp;","&amp;Q3,汇编指令!$C$2:$D$235,2,FALSE),"-1")</f>
        <v>C7</v>
      </c>
      <c r="R97" s="32" t="str">
        <f>_xlfn.IFNA(VLOOKUP($C97&amp;","&amp;R3,汇编指令!$C$2:$D$235,2,FALSE),"-1")</f>
        <v>-1</v>
      </c>
      <c r="S97" s="32" t="str">
        <f>_xlfn.IFNA(VLOOKUP($C97&amp;","&amp;S3,汇编指令!$C$2:$D$235,2,FALSE),"-1")</f>
        <v>-1</v>
      </c>
      <c r="T97" s="32" t="str">
        <f>_xlfn.IFNA(VLOOKUP($C97&amp;","&amp;T3,汇编指令!$C$2:$D$235,2,FALSE),"-1")</f>
        <v>-1</v>
      </c>
      <c r="U97" s="32" t="str">
        <f>_xlfn.IFNA(VLOOKUP($C97&amp;","&amp;U3,汇编指令!$C$2:$D$235,2,FALSE),"-1")</f>
        <v>-1</v>
      </c>
      <c r="V97" s="32" t="str">
        <f>_xlfn.IFNA(VLOOKUP($C97&amp;","&amp;V3,汇编指令!$C$2:$D$235,2,FALSE),"-1")</f>
        <v>-1</v>
      </c>
      <c r="W97" s="32" t="str">
        <f>_xlfn.IFNA(VLOOKUP($C97&amp;","&amp;W3,汇编指令!$C$2:$D$235,2,FALSE),"-1")</f>
        <v>-1</v>
      </c>
      <c r="X97" s="32" t="str">
        <f>_xlfn.IFNA(VLOOKUP($C97&amp;","&amp;X3,汇编指令!$C$2:$D$235,2,FALSE),"-1")</f>
        <v>-1</v>
      </c>
      <c r="Y97" s="32" t="str">
        <f>_xlfn.IFNA(VLOOKUP($C97&amp;","&amp;Y3,汇编指令!$C$2:$D$235,2,FALSE),"-1")</f>
        <v>-1</v>
      </c>
      <c r="Z97" s="32" t="str">
        <f>_xlfn.IFNA(VLOOKUP($C97&amp;","&amp;Z3,汇编指令!$C$2:$D$235,2,FALSE),"-1")</f>
        <v>-1</v>
      </c>
      <c r="AA97" s="32" t="str">
        <f>_xlfn.IFNA(VLOOKUP($C97&amp;","&amp;AA3,汇编指令!$C$2:$D$235,2,FALSE),"-1")</f>
        <v>-1</v>
      </c>
      <c r="AB97" s="53" t="str">
        <f>_xlfn.IFNA(VLOOKUP($C97&amp;","&amp;AB3,汇编指令!$C$2:$D$235,2,FALSE),"-1")</f>
        <v>-1</v>
      </c>
    </row>
    <row r="98" ht="20" customHeight="1" spans="1:28">
      <c r="A98" s="16">
        <v>2</v>
      </c>
      <c r="B98" s="21">
        <f t="shared" ref="B98:B112" si="16">ROW()-4</f>
        <v>94</v>
      </c>
      <c r="C98" s="24" t="s">
        <v>1013</v>
      </c>
      <c r="D98" s="23" t="str">
        <f t="shared" si="14"/>
        <v>5E</v>
      </c>
      <c r="E98" s="34" t="str">
        <f>_xlfn.IFNA(VLOOKUP($C98&amp;","&amp;E3,汇编指令!$C$2:$D$235,2,FALSE),"-1")</f>
        <v>-1</v>
      </c>
      <c r="F98" s="32" t="str">
        <f>_xlfn.IFNA(VLOOKUP($C98&amp;","&amp;F3,汇编指令!$C$2:$D$235,2,FALSE),"-1")</f>
        <v>-1</v>
      </c>
      <c r="G98" s="32" t="str">
        <f>_xlfn.IFNA(VLOOKUP($C98&amp;","&amp;G3,汇编指令!$C$2:$D$235,2,FALSE),"-1")</f>
        <v>-1</v>
      </c>
      <c r="H98" s="32" t="str">
        <f>_xlfn.IFNA(VLOOKUP($C98&amp;","&amp;H3,汇编指令!$C$2:$D$235,2,FALSE),"-1")</f>
        <v>-1</v>
      </c>
      <c r="I98" s="32" t="str">
        <f>_xlfn.IFNA(VLOOKUP($C98&amp;","&amp;I3,汇编指令!$C$2:$D$235,2,FALSE),"-1")</f>
        <v>-1</v>
      </c>
      <c r="J98" s="32" t="str">
        <f>_xlfn.IFNA(VLOOKUP($C98&amp;","&amp;J3,汇编指令!$C$2:$D$235,2,FALSE),"-1")</f>
        <v>-1</v>
      </c>
      <c r="K98" s="32" t="str">
        <f>_xlfn.IFNA(VLOOKUP($C98&amp;","&amp;K3,汇编指令!$C$2:$D$235,2,FALSE),"-1")</f>
        <v>-1</v>
      </c>
      <c r="L98" s="32" t="str">
        <f>_xlfn.IFNA(VLOOKUP($C98&amp;","&amp;L3,汇编指令!$C$2:$D$235,2,FALSE),"-1")</f>
        <v>-1</v>
      </c>
      <c r="M98" s="32" t="str">
        <f>_xlfn.IFNA(VLOOKUP($C98&amp;","&amp;M3,汇编指令!$C$2:$D$235,2,FALSE),"-1")</f>
        <v>-1</v>
      </c>
      <c r="N98" s="32" t="str">
        <f>_xlfn.IFNA(VLOOKUP($C98&amp;","&amp;N3,汇编指令!$C$2:$D$235,2,FALSE),"-1")</f>
        <v>-1</v>
      </c>
      <c r="O98" s="32" t="str">
        <f>_xlfn.IFNA(VLOOKUP($C98&amp;","&amp;O3,汇编指令!$C$2:$D$235,2,FALSE),"-1")</f>
        <v>-1</v>
      </c>
      <c r="P98" s="33" t="str">
        <f>_xlfn.IFNA(VLOOKUP($C98&amp;","&amp;P3,汇编指令!$C$2:$D$235,2,FALSE),"-1")</f>
        <v>D6</v>
      </c>
      <c r="Q98" s="33" t="str">
        <f>_xlfn.IFNA(VLOOKUP($C98&amp;","&amp;Q3,汇编指令!$C$2:$D$235,2,FALSE),"-1")</f>
        <v>D7</v>
      </c>
      <c r="R98" s="32" t="str">
        <f>_xlfn.IFNA(VLOOKUP($C98&amp;","&amp;R3,汇编指令!$C$2:$D$235,2,FALSE),"-1")</f>
        <v>-1</v>
      </c>
      <c r="S98" s="32" t="str">
        <f>_xlfn.IFNA(VLOOKUP($C98&amp;","&amp;S3,汇编指令!$C$2:$D$235,2,FALSE),"-1")</f>
        <v>-1</v>
      </c>
      <c r="T98" s="32" t="str">
        <f>_xlfn.IFNA(VLOOKUP($C98&amp;","&amp;T3,汇编指令!$C$2:$D$235,2,FALSE),"-1")</f>
        <v>-1</v>
      </c>
      <c r="U98" s="32" t="str">
        <f>_xlfn.IFNA(VLOOKUP($C98&amp;","&amp;U3,汇编指令!$C$2:$D$235,2,FALSE),"-1")</f>
        <v>-1</v>
      </c>
      <c r="V98" s="32" t="str">
        <f>_xlfn.IFNA(VLOOKUP($C98&amp;","&amp;V3,汇编指令!$C$2:$D$235,2,FALSE),"-1")</f>
        <v>-1</v>
      </c>
      <c r="W98" s="32" t="str">
        <f>_xlfn.IFNA(VLOOKUP($C98&amp;","&amp;W3,汇编指令!$C$2:$D$235,2,FALSE),"-1")</f>
        <v>-1</v>
      </c>
      <c r="X98" s="32" t="str">
        <f>_xlfn.IFNA(VLOOKUP($C98&amp;","&amp;X3,汇编指令!$C$2:$D$235,2,FALSE),"-1")</f>
        <v>-1</v>
      </c>
      <c r="Y98" s="32" t="str">
        <f>_xlfn.IFNA(VLOOKUP($C98&amp;","&amp;Y3,汇编指令!$C$2:$D$235,2,FALSE),"-1")</f>
        <v>-1</v>
      </c>
      <c r="Z98" s="32" t="str">
        <f>_xlfn.IFNA(VLOOKUP($C98&amp;","&amp;Z3,汇编指令!$C$2:$D$235,2,FALSE),"-1")</f>
        <v>-1</v>
      </c>
      <c r="AA98" s="32" t="str">
        <f>_xlfn.IFNA(VLOOKUP($C98&amp;","&amp;AA3,汇编指令!$C$2:$D$235,2,FALSE),"-1")</f>
        <v>-1</v>
      </c>
      <c r="AB98" s="53" t="str">
        <f>_xlfn.IFNA(VLOOKUP($C98&amp;","&amp;AB3,汇编指令!$C$2:$D$235,2,FALSE),"-1")</f>
        <v>-1</v>
      </c>
    </row>
    <row r="99" ht="20" customHeight="1" spans="1:28">
      <c r="A99" s="16">
        <v>2</v>
      </c>
      <c r="B99" s="21">
        <f t="shared" si="16"/>
        <v>95</v>
      </c>
      <c r="C99" s="24" t="s">
        <v>1014</v>
      </c>
      <c r="D99" s="23" t="str">
        <f t="shared" si="14"/>
        <v>5F</v>
      </c>
      <c r="E99" s="34" t="str">
        <f>_xlfn.IFNA(VLOOKUP($C99&amp;","&amp;E3,汇编指令!$C$2:$D$235,2,FALSE),"-1")</f>
        <v>-1</v>
      </c>
      <c r="F99" s="33" t="str">
        <f>_xlfn.IFNA(VLOOKUP($C99&amp;","&amp;F3,汇编指令!$C$2:$D$235,2,FALSE),"-1")</f>
        <v>68</v>
      </c>
      <c r="G99" s="33" t="str">
        <f>_xlfn.IFNA(VLOOKUP($C99&amp;","&amp;G3,汇编指令!$C$2:$D$235,2,FALSE),"-1")</f>
        <v>69</v>
      </c>
      <c r="H99" s="33" t="str">
        <f>_xlfn.IFNA(VLOOKUP($C99&amp;","&amp;H3,汇编指令!$C$2:$D$235,2,FALSE),"-1")</f>
        <v>6A</v>
      </c>
      <c r="I99" s="33" t="str">
        <f>_xlfn.IFNA(VLOOKUP($C99&amp;","&amp;I3,汇编指令!$C$2:$D$235,2,FALSE),"-1")</f>
        <v>6B</v>
      </c>
      <c r="J99" s="33" t="str">
        <f>_xlfn.IFNA(VLOOKUP($C99&amp;","&amp;J3,汇编指令!$C$2:$D$235,2,FALSE),"-1")</f>
        <v>6C</v>
      </c>
      <c r="K99" s="33" t="str">
        <f>_xlfn.IFNA(VLOOKUP($C99&amp;","&amp;K3,汇编指令!$C$2:$D$235,2,FALSE),"-1")</f>
        <v>6D</v>
      </c>
      <c r="L99" s="33" t="str">
        <f>_xlfn.IFNA(VLOOKUP($C99&amp;","&amp;L3,汇编指令!$C$2:$D$235,2,FALSE),"-1")</f>
        <v>6E</v>
      </c>
      <c r="M99" s="33" t="str">
        <f>_xlfn.IFNA(VLOOKUP($C99&amp;","&amp;M3,汇编指令!$C$2:$D$235,2,FALSE),"-1")</f>
        <v>6F</v>
      </c>
      <c r="N99" s="33" t="str">
        <f>_xlfn.IFNA(VLOOKUP($C99&amp;","&amp;N3,汇编指令!$C$2:$D$235,2,FALSE),"-1")</f>
        <v>64</v>
      </c>
      <c r="O99" s="33" t="str">
        <f>_xlfn.IFNA(VLOOKUP($C99&amp;","&amp;O3,汇编指令!$C$2:$D$235,2,FALSE),"-1")</f>
        <v>65</v>
      </c>
      <c r="P99" s="33" t="str">
        <f>_xlfn.IFNA(VLOOKUP($C99&amp;","&amp;P3,汇编指令!$C$2:$D$235,2,FALSE),"-1")</f>
        <v>66</v>
      </c>
      <c r="Q99" s="33" t="str">
        <f>_xlfn.IFNA(VLOOKUP($C99&amp;","&amp;Q3,汇编指令!$C$2:$D$235,2,FALSE),"-1")</f>
        <v>67</v>
      </c>
      <c r="R99" s="32" t="str">
        <f>_xlfn.IFNA(VLOOKUP($C99&amp;","&amp;R3,汇编指令!$C$2:$D$235,2,FALSE),"-1")</f>
        <v>-1</v>
      </c>
      <c r="S99" s="32" t="str">
        <f>_xlfn.IFNA(VLOOKUP($C99&amp;","&amp;S3,汇编指令!$C$2:$D$235,2,FALSE),"-1")</f>
        <v>-1</v>
      </c>
      <c r="T99" s="32" t="str">
        <f>_xlfn.IFNA(VLOOKUP($C99&amp;","&amp;T3,汇编指令!$C$2:$D$235,2,FALSE),"-1")</f>
        <v>-1</v>
      </c>
      <c r="U99" s="32" t="str">
        <f>_xlfn.IFNA(VLOOKUP($C99&amp;","&amp;U3,汇编指令!$C$2:$D$235,2,FALSE),"-1")</f>
        <v>-1</v>
      </c>
      <c r="V99" s="32" t="str">
        <f>_xlfn.IFNA(VLOOKUP($C99&amp;","&amp;V3,汇编指令!$C$2:$D$235,2,FALSE),"-1")</f>
        <v>-1</v>
      </c>
      <c r="W99" s="32" t="str">
        <f>_xlfn.IFNA(VLOOKUP($C99&amp;","&amp;W3,汇编指令!$C$2:$D$235,2,FALSE),"-1")</f>
        <v>-1</v>
      </c>
      <c r="X99" s="32" t="str">
        <f>_xlfn.IFNA(VLOOKUP($C99&amp;","&amp;X3,汇编指令!$C$2:$D$235,2,FALSE),"-1")</f>
        <v>-1</v>
      </c>
      <c r="Y99" s="32" t="str">
        <f>_xlfn.IFNA(VLOOKUP($C99&amp;","&amp;Y3,汇编指令!$C$2:$D$235,2,FALSE),"-1")</f>
        <v>-1</v>
      </c>
      <c r="Z99" s="32" t="str">
        <f>_xlfn.IFNA(VLOOKUP($C99&amp;","&amp;Z3,汇编指令!$C$2:$D$235,2,FALSE),"-1")</f>
        <v>-1</v>
      </c>
      <c r="AA99" s="32" t="str">
        <f>_xlfn.IFNA(VLOOKUP($C99&amp;","&amp;AA3,汇编指令!$C$2:$D$235,2,FALSE),"-1")</f>
        <v>-1</v>
      </c>
      <c r="AB99" s="53" t="str">
        <f>_xlfn.IFNA(VLOOKUP($C99&amp;","&amp;AB3,汇编指令!$C$2:$D$235,2,FALSE),"-1")</f>
        <v>-1</v>
      </c>
    </row>
    <row r="100" ht="20" customHeight="1" spans="1:28">
      <c r="A100" s="16">
        <v>2</v>
      </c>
      <c r="B100" s="21">
        <f t="shared" si="16"/>
        <v>96</v>
      </c>
      <c r="C100" s="24" t="s">
        <v>1015</v>
      </c>
      <c r="D100" s="23" t="str">
        <f t="shared" si="14"/>
        <v>60</v>
      </c>
      <c r="E100" s="34" t="str">
        <f>_xlfn.IFNA(VLOOKUP($C100&amp;","&amp;E3,汇编指令!$C$2:$D$235,2,FALSE),"-1")</f>
        <v>-1</v>
      </c>
      <c r="F100" s="32" t="str">
        <f>_xlfn.IFNA(VLOOKUP($C100&amp;","&amp;F3,汇编指令!$C$2:$D$235,2,FALSE),"-1")</f>
        <v>-1</v>
      </c>
      <c r="G100" s="32" t="str">
        <f>_xlfn.IFNA(VLOOKUP($C100&amp;","&amp;G3,汇编指令!$C$2:$D$235,2,FALSE),"-1")</f>
        <v>-1</v>
      </c>
      <c r="H100" s="32" t="str">
        <f>_xlfn.IFNA(VLOOKUP($C100&amp;","&amp;H3,汇编指令!$C$2:$D$235,2,FALSE),"-1")</f>
        <v>-1</v>
      </c>
      <c r="I100" s="32" t="str">
        <f>_xlfn.IFNA(VLOOKUP($C100&amp;","&amp;I3,汇编指令!$C$2:$D$235,2,FALSE),"-1")</f>
        <v>-1</v>
      </c>
      <c r="J100" s="32" t="str">
        <f>_xlfn.IFNA(VLOOKUP($C100&amp;","&amp;J3,汇编指令!$C$2:$D$235,2,FALSE),"-1")</f>
        <v>-1</v>
      </c>
      <c r="K100" s="32" t="str">
        <f>_xlfn.IFNA(VLOOKUP($C100&amp;","&amp;K3,汇编指令!$C$2:$D$235,2,FALSE),"-1")</f>
        <v>-1</v>
      </c>
      <c r="L100" s="32" t="str">
        <f>_xlfn.IFNA(VLOOKUP($C100&amp;","&amp;L3,汇编指令!$C$2:$D$235,2,FALSE),"-1")</f>
        <v>-1</v>
      </c>
      <c r="M100" s="32" t="str">
        <f>_xlfn.IFNA(VLOOKUP($C100&amp;","&amp;M3,汇编指令!$C$2:$D$235,2,FALSE),"-1")</f>
        <v>-1</v>
      </c>
      <c r="N100" s="33" t="str">
        <f>_xlfn.IFNA(VLOOKUP($C100&amp;","&amp;N3,汇编指令!$C$2:$D$235,2,FALSE),"-1")</f>
        <v>62</v>
      </c>
      <c r="O100" s="32" t="str">
        <f>_xlfn.IFNA(VLOOKUP($C100&amp;","&amp;O3,汇编指令!$C$2:$D$235,2,FALSE),"-1")</f>
        <v>-1</v>
      </c>
      <c r="P100" s="32" t="str">
        <f>_xlfn.IFNA(VLOOKUP($C100&amp;","&amp;P3,汇编指令!$C$2:$D$235,2,FALSE),"-1")</f>
        <v>-1</v>
      </c>
      <c r="Q100" s="32" t="str">
        <f>_xlfn.IFNA(VLOOKUP($C100&amp;","&amp;Q3,汇编指令!$C$2:$D$235,2,FALSE),"-1")</f>
        <v>-1</v>
      </c>
      <c r="R100" s="32" t="str">
        <f>_xlfn.IFNA(VLOOKUP($C100&amp;","&amp;R3,汇编指令!$C$2:$D$235,2,FALSE),"-1")</f>
        <v>-1</v>
      </c>
      <c r="S100" s="32" t="str">
        <f>_xlfn.IFNA(VLOOKUP($C100&amp;","&amp;S3,汇编指令!$C$2:$D$235,2,FALSE),"-1")</f>
        <v>-1</v>
      </c>
      <c r="T100" s="32" t="str">
        <f>_xlfn.IFNA(VLOOKUP($C100&amp;","&amp;T3,汇编指令!$C$2:$D$235,2,FALSE),"-1")</f>
        <v>-1</v>
      </c>
      <c r="U100" s="32" t="str">
        <f>_xlfn.IFNA(VLOOKUP($C100&amp;","&amp;U3,汇编指令!$C$2:$D$235,2,FALSE),"-1")</f>
        <v>-1</v>
      </c>
      <c r="V100" s="32" t="str">
        <f>_xlfn.IFNA(VLOOKUP($C100&amp;","&amp;V3,汇编指令!$C$2:$D$235,2,FALSE),"-1")</f>
        <v>-1</v>
      </c>
      <c r="W100" s="32" t="str">
        <f>_xlfn.IFNA(VLOOKUP($C100&amp;","&amp;W3,汇编指令!$C$2:$D$235,2,FALSE),"-1")</f>
        <v>-1</v>
      </c>
      <c r="X100" s="32" t="str">
        <f>_xlfn.IFNA(VLOOKUP($C100&amp;","&amp;X3,汇编指令!$C$2:$D$235,2,FALSE),"-1")</f>
        <v>-1</v>
      </c>
      <c r="Y100" s="32" t="str">
        <f>_xlfn.IFNA(VLOOKUP($C100&amp;","&amp;Y3,汇编指令!$C$2:$D$235,2,FALSE),"-1")</f>
        <v>-1</v>
      </c>
      <c r="Z100" s="32" t="str">
        <f>_xlfn.IFNA(VLOOKUP($C100&amp;","&amp;Z3,汇编指令!$C$2:$D$235,2,FALSE),"-1")</f>
        <v>-1</v>
      </c>
      <c r="AA100" s="32" t="str">
        <f>_xlfn.IFNA(VLOOKUP($C100&amp;","&amp;AA3,汇编指令!$C$2:$D$235,2,FALSE),"-1")</f>
        <v>-1</v>
      </c>
      <c r="AB100" s="53" t="str">
        <f>_xlfn.IFNA(VLOOKUP($C100&amp;","&amp;AB3,汇编指令!$C$2:$D$235,2,FALSE),"-1")</f>
        <v>-1</v>
      </c>
    </row>
    <row r="101" ht="20" customHeight="1" spans="1:28">
      <c r="A101" s="16">
        <v>3</v>
      </c>
      <c r="B101" s="21">
        <f t="shared" si="16"/>
        <v>97</v>
      </c>
      <c r="C101" s="36" t="s">
        <v>1016</v>
      </c>
      <c r="D101" s="23" t="str">
        <f t="shared" si="14"/>
        <v>61</v>
      </c>
      <c r="E101" s="34" t="str">
        <f>_xlfn.IFNA(VLOOKUP($C101&amp;","&amp;E3,汇编指令!$C$2:$D$235,2,FALSE),"-1")</f>
        <v>-1</v>
      </c>
      <c r="F101" s="32" t="str">
        <f>_xlfn.IFNA(VLOOKUP($C101&amp;","&amp;F3,汇编指令!$C$2:$D$235,2,FALSE),"-1")</f>
        <v>-1</v>
      </c>
      <c r="G101" s="32" t="str">
        <f>_xlfn.IFNA(VLOOKUP($C101&amp;","&amp;G3,汇编指令!$C$2:$D$235,2,FALSE),"-1")</f>
        <v>-1</v>
      </c>
      <c r="H101" s="32" t="str">
        <f>_xlfn.IFNA(VLOOKUP($C101&amp;","&amp;H3,汇编指令!$C$2:$D$235,2,FALSE),"-1")</f>
        <v>-1</v>
      </c>
      <c r="I101" s="32" t="str">
        <f>_xlfn.IFNA(VLOOKUP($C101&amp;","&amp;I3,汇编指令!$C$2:$D$235,2,FALSE),"-1")</f>
        <v>-1</v>
      </c>
      <c r="J101" s="32" t="str">
        <f>_xlfn.IFNA(VLOOKUP($C101&amp;","&amp;J3,汇编指令!$C$2:$D$235,2,FALSE),"-1")</f>
        <v>-1</v>
      </c>
      <c r="K101" s="32" t="str">
        <f>_xlfn.IFNA(VLOOKUP($C101&amp;","&amp;K3,汇编指令!$C$2:$D$235,2,FALSE),"-1")</f>
        <v>-1</v>
      </c>
      <c r="L101" s="32" t="str">
        <f>_xlfn.IFNA(VLOOKUP($C101&amp;","&amp;L3,汇编指令!$C$2:$D$235,2,FALSE),"-1")</f>
        <v>-1</v>
      </c>
      <c r="M101" s="32" t="str">
        <f>_xlfn.IFNA(VLOOKUP($C101&amp;","&amp;M3,汇编指令!$C$2:$D$235,2,FALSE),"-1")</f>
        <v>-1</v>
      </c>
      <c r="N101" s="32" t="str">
        <f>_xlfn.IFNA(VLOOKUP($C101&amp;","&amp;N3,汇编指令!$C$2:$D$235,2,FALSE),"-1")</f>
        <v>-1</v>
      </c>
      <c r="O101" s="32" t="str">
        <f>_xlfn.IFNA(VLOOKUP($C101&amp;","&amp;O3,汇编指令!$C$2:$D$235,2,FALSE),"-1")</f>
        <v>-1</v>
      </c>
      <c r="P101" s="32" t="str">
        <f>_xlfn.IFNA(VLOOKUP($C101&amp;","&amp;P3,汇编指令!$C$2:$D$235,2,FALSE),"-1")</f>
        <v>-1</v>
      </c>
      <c r="Q101" s="32" t="str">
        <f>_xlfn.IFNA(VLOOKUP($C101&amp;","&amp;Q3,汇编指令!$C$2:$D$235,2,FALSE),"-1")</f>
        <v>-1</v>
      </c>
      <c r="R101" s="32" t="str">
        <f>_xlfn.IFNA(VLOOKUP($C101&amp;","&amp;R3,汇编指令!$C$2:$D$235,2,FALSE),"-1")</f>
        <v>-1</v>
      </c>
      <c r="S101" s="32" t="str">
        <f>_xlfn.IFNA(VLOOKUP($C101&amp;","&amp;S3,汇编指令!$C$2:$D$235,2,FALSE),"-1")</f>
        <v>-1</v>
      </c>
      <c r="T101" s="32" t="str">
        <f>_xlfn.IFNA(VLOOKUP($C101&amp;","&amp;T3,汇编指令!$C$2:$D$235,2,FALSE),"-1")</f>
        <v>-1</v>
      </c>
      <c r="U101" s="32" t="str">
        <f>_xlfn.IFNA(VLOOKUP($C101&amp;","&amp;U3,汇编指令!$C$2:$D$235,2,FALSE),"-1")</f>
        <v>-1</v>
      </c>
      <c r="V101" s="32" t="str">
        <f>_xlfn.IFNA(VLOOKUP($C101&amp;","&amp;V3,汇编指令!$C$2:$D$235,2,FALSE),"-1")</f>
        <v>-1</v>
      </c>
      <c r="W101" s="32" t="str">
        <f>_xlfn.IFNA(VLOOKUP($C101&amp;","&amp;W3,汇编指令!$C$2:$D$235,2,FALSE),"-1")</f>
        <v>-1</v>
      </c>
      <c r="X101" s="33" t="str">
        <f>_xlfn.IFNA(VLOOKUP($C101&amp;","&amp;X3,汇编指令!$C$2:$D$235,2,FALSE),"-1")</f>
        <v>B6</v>
      </c>
      <c r="Y101" s="32" t="str">
        <f>_xlfn.IFNA(VLOOKUP($C101&amp;","&amp;Y3,汇编指令!$C$2:$D$235,2,FALSE),"-1")</f>
        <v>-1</v>
      </c>
      <c r="Z101" s="32" t="str">
        <f>_xlfn.IFNA(VLOOKUP($C101&amp;","&amp;Z3,汇编指令!$C$2:$D$235,2,FALSE),"-1")</f>
        <v>-1</v>
      </c>
      <c r="AA101" s="32" t="str">
        <f>_xlfn.IFNA(VLOOKUP($C101&amp;","&amp;AA3,汇编指令!$C$2:$D$235,2,FALSE),"-1")</f>
        <v>-1</v>
      </c>
      <c r="AB101" s="53" t="str">
        <f>_xlfn.IFNA(VLOOKUP($C101&amp;","&amp;AB3,汇编指令!$C$2:$D$235,2,FALSE),"-1")</f>
        <v>-1</v>
      </c>
    </row>
    <row r="102" ht="20" customHeight="1" spans="1:28">
      <c r="A102" s="16">
        <v>3</v>
      </c>
      <c r="B102" s="21">
        <f t="shared" si="16"/>
        <v>98</v>
      </c>
      <c r="C102" s="36" t="s">
        <v>1017</v>
      </c>
      <c r="D102" s="23" t="str">
        <f t="shared" si="14"/>
        <v>62</v>
      </c>
      <c r="E102" s="34" t="str">
        <f>_xlfn.IFNA(VLOOKUP($C102&amp;","&amp;E3,汇编指令!$C$2:$D$235,2,FALSE),"-1")</f>
        <v>-1</v>
      </c>
      <c r="F102" s="32" t="str">
        <f>_xlfn.IFNA(VLOOKUP($C102&amp;","&amp;F3,汇编指令!$C$2:$D$235,2,FALSE),"-1")</f>
        <v>-1</v>
      </c>
      <c r="G102" s="32" t="str">
        <f>_xlfn.IFNA(VLOOKUP($C102&amp;","&amp;G3,汇编指令!$C$2:$D$235,2,FALSE),"-1")</f>
        <v>-1</v>
      </c>
      <c r="H102" s="32" t="str">
        <f>_xlfn.IFNA(VLOOKUP($C102&amp;","&amp;H3,汇编指令!$C$2:$D$235,2,FALSE),"-1")</f>
        <v>-1</v>
      </c>
      <c r="I102" s="32" t="str">
        <f>_xlfn.IFNA(VLOOKUP($C102&amp;","&amp;I3,汇编指令!$C$2:$D$235,2,FALSE),"-1")</f>
        <v>-1</v>
      </c>
      <c r="J102" s="32" t="str">
        <f>_xlfn.IFNA(VLOOKUP($C102&amp;","&amp;J3,汇编指令!$C$2:$D$235,2,FALSE),"-1")</f>
        <v>-1</v>
      </c>
      <c r="K102" s="32" t="str">
        <f>_xlfn.IFNA(VLOOKUP($C102&amp;","&amp;K3,汇编指令!$C$2:$D$235,2,FALSE),"-1")</f>
        <v>-1</v>
      </c>
      <c r="L102" s="32" t="str">
        <f>_xlfn.IFNA(VLOOKUP($C102&amp;","&amp;L3,汇编指令!$C$2:$D$235,2,FALSE),"-1")</f>
        <v>-1</v>
      </c>
      <c r="M102" s="32" t="str">
        <f>_xlfn.IFNA(VLOOKUP($C102&amp;","&amp;M3,汇编指令!$C$2:$D$235,2,FALSE),"-1")</f>
        <v>-1</v>
      </c>
      <c r="N102" s="32" t="str">
        <f>_xlfn.IFNA(VLOOKUP($C102&amp;","&amp;N3,汇编指令!$C$2:$D$235,2,FALSE),"-1")</f>
        <v>-1</v>
      </c>
      <c r="O102" s="32" t="str">
        <f>_xlfn.IFNA(VLOOKUP($C102&amp;","&amp;O3,汇编指令!$C$2:$D$235,2,FALSE),"-1")</f>
        <v>-1</v>
      </c>
      <c r="P102" s="32" t="str">
        <f>_xlfn.IFNA(VLOOKUP($C102&amp;","&amp;P3,汇编指令!$C$2:$D$235,2,FALSE),"-1")</f>
        <v>-1</v>
      </c>
      <c r="Q102" s="32" t="str">
        <f>_xlfn.IFNA(VLOOKUP($C102&amp;","&amp;Q3,汇编指令!$C$2:$D$235,2,FALSE),"-1")</f>
        <v>-1</v>
      </c>
      <c r="R102" s="32" t="str">
        <f>_xlfn.IFNA(VLOOKUP($C102&amp;","&amp;R3,汇编指令!$C$2:$D$235,2,FALSE),"-1")</f>
        <v>-1</v>
      </c>
      <c r="S102" s="32" t="str">
        <f>_xlfn.IFNA(VLOOKUP($C102&amp;","&amp;S3,汇编指令!$C$2:$D$235,2,FALSE),"-1")</f>
        <v>-1</v>
      </c>
      <c r="T102" s="32" t="str">
        <f>_xlfn.IFNA(VLOOKUP($C102&amp;","&amp;T3,汇编指令!$C$2:$D$235,2,FALSE),"-1")</f>
        <v>-1</v>
      </c>
      <c r="U102" s="32" t="str">
        <f>_xlfn.IFNA(VLOOKUP($C102&amp;","&amp;U3,汇编指令!$C$2:$D$235,2,FALSE),"-1")</f>
        <v>-1</v>
      </c>
      <c r="V102" s="32" t="str">
        <f>_xlfn.IFNA(VLOOKUP($C102&amp;","&amp;V3,汇编指令!$C$2:$D$235,2,FALSE),"-1")</f>
        <v>-1</v>
      </c>
      <c r="W102" s="32" t="str">
        <f>_xlfn.IFNA(VLOOKUP($C102&amp;","&amp;W3,汇编指令!$C$2:$D$235,2,FALSE),"-1")</f>
        <v>-1</v>
      </c>
      <c r="X102" s="33" t="str">
        <f>_xlfn.IFNA(VLOOKUP($C102&amp;","&amp;X3,汇编指令!$C$2:$D$235,2,FALSE),"-1")</f>
        <v>B7</v>
      </c>
      <c r="Y102" s="32" t="str">
        <f>_xlfn.IFNA(VLOOKUP($C102&amp;","&amp;Y3,汇编指令!$C$2:$D$235,2,FALSE),"-1")</f>
        <v>-1</v>
      </c>
      <c r="Z102" s="32" t="str">
        <f>_xlfn.IFNA(VLOOKUP($C102&amp;","&amp;Z3,汇编指令!$C$2:$D$235,2,FALSE),"-1")</f>
        <v>-1</v>
      </c>
      <c r="AA102" s="32" t="str">
        <f>_xlfn.IFNA(VLOOKUP($C102&amp;","&amp;AA3,汇编指令!$C$2:$D$235,2,FALSE),"-1")</f>
        <v>-1</v>
      </c>
      <c r="AB102" s="53" t="str">
        <f>_xlfn.IFNA(VLOOKUP($C102&amp;","&amp;AB3,汇编指令!$C$2:$D$235,2,FALSE),"-1")</f>
        <v>-1</v>
      </c>
    </row>
    <row r="103" ht="20" customHeight="1" spans="1:28">
      <c r="A103" s="16">
        <v>3</v>
      </c>
      <c r="B103" s="21">
        <f t="shared" si="16"/>
        <v>99</v>
      </c>
      <c r="C103" s="36" t="s">
        <v>1018</v>
      </c>
      <c r="D103" s="23" t="str">
        <f t="shared" si="14"/>
        <v>63</v>
      </c>
      <c r="E103" s="34" t="str">
        <f>_xlfn.IFNA(VLOOKUP($C103&amp;","&amp;E3,汇编指令!$C$2:$D$235,2,FALSE),"-1")</f>
        <v>-1</v>
      </c>
      <c r="F103" s="32" t="str">
        <f>_xlfn.IFNA(VLOOKUP($C103&amp;","&amp;F3,汇编指令!$C$2:$D$235,2,FALSE),"-1")</f>
        <v>-1</v>
      </c>
      <c r="G103" s="32" t="str">
        <f>_xlfn.IFNA(VLOOKUP($C103&amp;","&amp;G3,汇编指令!$C$2:$D$235,2,FALSE),"-1")</f>
        <v>-1</v>
      </c>
      <c r="H103" s="32" t="str">
        <f>_xlfn.IFNA(VLOOKUP($C103&amp;","&amp;H3,汇编指令!$C$2:$D$235,2,FALSE),"-1")</f>
        <v>-1</v>
      </c>
      <c r="I103" s="32" t="str">
        <f>_xlfn.IFNA(VLOOKUP($C103&amp;","&amp;I3,汇编指令!$C$2:$D$235,2,FALSE),"-1")</f>
        <v>-1</v>
      </c>
      <c r="J103" s="32" t="str">
        <f>_xlfn.IFNA(VLOOKUP($C103&amp;","&amp;J3,汇编指令!$C$2:$D$235,2,FALSE),"-1")</f>
        <v>-1</v>
      </c>
      <c r="K103" s="32" t="str">
        <f>_xlfn.IFNA(VLOOKUP($C103&amp;","&amp;K3,汇编指令!$C$2:$D$235,2,FALSE),"-1")</f>
        <v>-1</v>
      </c>
      <c r="L103" s="32" t="str">
        <f>_xlfn.IFNA(VLOOKUP($C103&amp;","&amp;L3,汇编指令!$C$2:$D$235,2,FALSE),"-1")</f>
        <v>-1</v>
      </c>
      <c r="M103" s="32" t="str">
        <f>_xlfn.IFNA(VLOOKUP($C103&amp;","&amp;M3,汇编指令!$C$2:$D$235,2,FALSE),"-1")</f>
        <v>-1</v>
      </c>
      <c r="N103" s="32" t="str">
        <f>_xlfn.IFNA(VLOOKUP($C103&amp;","&amp;N3,汇编指令!$C$2:$D$235,2,FALSE),"-1")</f>
        <v>-1</v>
      </c>
      <c r="O103" s="32" t="str">
        <f>_xlfn.IFNA(VLOOKUP($C103&amp;","&amp;O3,汇编指令!$C$2:$D$235,2,FALSE),"-1")</f>
        <v>-1</v>
      </c>
      <c r="P103" s="32" t="str">
        <f>_xlfn.IFNA(VLOOKUP($C103&amp;","&amp;P3,汇编指令!$C$2:$D$235,2,FALSE),"-1")</f>
        <v>-1</v>
      </c>
      <c r="Q103" s="32" t="str">
        <f>_xlfn.IFNA(VLOOKUP($C103&amp;","&amp;Q3,汇编指令!$C$2:$D$235,2,FALSE),"-1")</f>
        <v>-1</v>
      </c>
      <c r="R103" s="32" t="str">
        <f>_xlfn.IFNA(VLOOKUP($C103&amp;","&amp;R3,汇编指令!$C$2:$D$235,2,FALSE),"-1")</f>
        <v>-1</v>
      </c>
      <c r="S103" s="32" t="str">
        <f>_xlfn.IFNA(VLOOKUP($C103&amp;","&amp;S3,汇编指令!$C$2:$D$235,2,FALSE),"-1")</f>
        <v>-1</v>
      </c>
      <c r="T103" s="32" t="str">
        <f>_xlfn.IFNA(VLOOKUP($C103&amp;","&amp;T3,汇编指令!$C$2:$D$235,2,FALSE),"-1")</f>
        <v>-1</v>
      </c>
      <c r="U103" s="32" t="str">
        <f>_xlfn.IFNA(VLOOKUP($C103&amp;","&amp;U3,汇编指令!$C$2:$D$235,2,FALSE),"-1")</f>
        <v>-1</v>
      </c>
      <c r="V103" s="32" t="str">
        <f>_xlfn.IFNA(VLOOKUP($C103&amp;","&amp;V3,汇编指令!$C$2:$D$235,2,FALSE),"-1")</f>
        <v>-1</v>
      </c>
      <c r="W103" s="32" t="str">
        <f>_xlfn.IFNA(VLOOKUP($C103&amp;","&amp;W3,汇编指令!$C$2:$D$235,2,FALSE),"-1")</f>
        <v>-1</v>
      </c>
      <c r="X103" s="33" t="str">
        <f>_xlfn.IFNA(VLOOKUP($C103&amp;","&amp;X3,汇编指令!$C$2:$D$235,2,FALSE),"-1")</f>
        <v>B4</v>
      </c>
      <c r="Y103" s="32" t="str">
        <f>_xlfn.IFNA(VLOOKUP($C103&amp;","&amp;Y3,汇编指令!$C$2:$D$235,2,FALSE),"-1")</f>
        <v>-1</v>
      </c>
      <c r="Z103" s="32" t="str">
        <f>_xlfn.IFNA(VLOOKUP($C103&amp;","&amp;Z3,汇编指令!$C$2:$D$235,2,FALSE),"-1")</f>
        <v>-1</v>
      </c>
      <c r="AA103" s="32" t="str">
        <f>_xlfn.IFNA(VLOOKUP($C103&amp;","&amp;AA3,汇编指令!$C$2:$D$235,2,FALSE),"-1")</f>
        <v>-1</v>
      </c>
      <c r="AB103" s="53" t="str">
        <f>_xlfn.IFNA(VLOOKUP($C103&amp;","&amp;AB3,汇编指令!$C$2:$D$235,2,FALSE),"-1")</f>
        <v>-1</v>
      </c>
    </row>
    <row r="104" ht="20" customHeight="1" spans="1:28">
      <c r="A104" s="16">
        <v>3</v>
      </c>
      <c r="B104" s="21">
        <f t="shared" si="16"/>
        <v>100</v>
      </c>
      <c r="C104" s="36" t="s">
        <v>1019</v>
      </c>
      <c r="D104" s="23" t="str">
        <f t="shared" si="14"/>
        <v>64</v>
      </c>
      <c r="E104" s="34" t="str">
        <f>_xlfn.IFNA(VLOOKUP($C104&amp;","&amp;E3,汇编指令!$C$2:$D$235,2,FALSE),"-1")</f>
        <v>-1</v>
      </c>
      <c r="F104" s="32" t="str">
        <f>_xlfn.IFNA(VLOOKUP($C104&amp;","&amp;F3,汇编指令!$C$2:$D$235,2,FALSE),"-1")</f>
        <v>-1</v>
      </c>
      <c r="G104" s="32" t="str">
        <f>_xlfn.IFNA(VLOOKUP($C104&amp;","&amp;G3,汇编指令!$C$2:$D$235,2,FALSE),"-1")</f>
        <v>-1</v>
      </c>
      <c r="H104" s="32" t="str">
        <f>_xlfn.IFNA(VLOOKUP($C104&amp;","&amp;H3,汇编指令!$C$2:$D$235,2,FALSE),"-1")</f>
        <v>-1</v>
      </c>
      <c r="I104" s="32" t="str">
        <f>_xlfn.IFNA(VLOOKUP($C104&amp;","&amp;I3,汇编指令!$C$2:$D$235,2,FALSE),"-1")</f>
        <v>-1</v>
      </c>
      <c r="J104" s="32" t="str">
        <f>_xlfn.IFNA(VLOOKUP($C104&amp;","&amp;J3,汇编指令!$C$2:$D$235,2,FALSE),"-1")</f>
        <v>-1</v>
      </c>
      <c r="K104" s="32" t="str">
        <f>_xlfn.IFNA(VLOOKUP($C104&amp;","&amp;K3,汇编指令!$C$2:$D$235,2,FALSE),"-1")</f>
        <v>-1</v>
      </c>
      <c r="L104" s="32" t="str">
        <f>_xlfn.IFNA(VLOOKUP($C104&amp;","&amp;L3,汇编指令!$C$2:$D$235,2,FALSE),"-1")</f>
        <v>-1</v>
      </c>
      <c r="M104" s="32" t="str">
        <f>_xlfn.IFNA(VLOOKUP($C104&amp;","&amp;M3,汇编指令!$C$2:$D$235,2,FALSE),"-1")</f>
        <v>-1</v>
      </c>
      <c r="N104" s="32" t="str">
        <f>_xlfn.IFNA(VLOOKUP($C104&amp;","&amp;N3,汇编指令!$C$2:$D$235,2,FALSE),"-1")</f>
        <v>-1</v>
      </c>
      <c r="O104" s="32" t="str">
        <f>_xlfn.IFNA(VLOOKUP($C104&amp;","&amp;O3,汇编指令!$C$2:$D$235,2,FALSE),"-1")</f>
        <v>-1</v>
      </c>
      <c r="P104" s="32" t="str">
        <f>_xlfn.IFNA(VLOOKUP($C104&amp;","&amp;P3,汇编指令!$C$2:$D$235,2,FALSE),"-1")</f>
        <v>-1</v>
      </c>
      <c r="Q104" s="32" t="str">
        <f>_xlfn.IFNA(VLOOKUP($C104&amp;","&amp;Q3,汇编指令!$C$2:$D$235,2,FALSE),"-1")</f>
        <v>-1</v>
      </c>
      <c r="R104" s="32" t="str">
        <f>_xlfn.IFNA(VLOOKUP($C104&amp;","&amp;R3,汇编指令!$C$2:$D$235,2,FALSE),"-1")</f>
        <v>-1</v>
      </c>
      <c r="S104" s="32" t="str">
        <f>_xlfn.IFNA(VLOOKUP($C104&amp;","&amp;S3,汇编指令!$C$2:$D$235,2,FALSE),"-1")</f>
        <v>-1</v>
      </c>
      <c r="T104" s="32" t="str">
        <f>_xlfn.IFNA(VLOOKUP($C104&amp;","&amp;T3,汇编指令!$C$2:$D$235,2,FALSE),"-1")</f>
        <v>-1</v>
      </c>
      <c r="U104" s="32" t="str">
        <f>_xlfn.IFNA(VLOOKUP($C104&amp;","&amp;U3,汇编指令!$C$2:$D$235,2,FALSE),"-1")</f>
        <v>-1</v>
      </c>
      <c r="V104" s="32" t="str">
        <f>_xlfn.IFNA(VLOOKUP($C104&amp;","&amp;V3,汇编指令!$C$2:$D$235,2,FALSE),"-1")</f>
        <v>-1</v>
      </c>
      <c r="W104" s="32" t="str">
        <f>_xlfn.IFNA(VLOOKUP($C104&amp;","&amp;W3,汇编指令!$C$2:$D$235,2,FALSE),"-1")</f>
        <v>-1</v>
      </c>
      <c r="X104" s="33" t="str">
        <f>_xlfn.IFNA(VLOOKUP($C104&amp;","&amp;X3,汇编指令!$C$2:$D$235,2,FALSE),"-1")</f>
        <v>B5</v>
      </c>
      <c r="Y104" s="32" t="str">
        <f>_xlfn.IFNA(VLOOKUP($C104&amp;","&amp;Y3,汇编指令!$C$2:$D$235,2,FALSE),"-1")</f>
        <v>-1</v>
      </c>
      <c r="Z104" s="32" t="str">
        <f>_xlfn.IFNA(VLOOKUP($C104&amp;","&amp;Z3,汇编指令!$C$2:$D$235,2,FALSE),"-1")</f>
        <v>-1</v>
      </c>
      <c r="AA104" s="32" t="str">
        <f>_xlfn.IFNA(VLOOKUP($C104&amp;","&amp;AA3,汇编指令!$C$2:$D$235,2,FALSE),"-1")</f>
        <v>-1</v>
      </c>
      <c r="AB104" s="53" t="str">
        <f>_xlfn.IFNA(VLOOKUP($C104&amp;","&amp;AB3,汇编指令!$C$2:$D$235,2,FALSE),"-1")</f>
        <v>-1</v>
      </c>
    </row>
    <row r="105" ht="20" customHeight="1" spans="1:28">
      <c r="A105" s="16">
        <v>3</v>
      </c>
      <c r="B105" s="21">
        <f t="shared" si="16"/>
        <v>101</v>
      </c>
      <c r="C105" s="36" t="s">
        <v>1020</v>
      </c>
      <c r="D105" s="23" t="str">
        <f t="shared" si="14"/>
        <v>65</v>
      </c>
      <c r="E105" s="34" t="str">
        <f>_xlfn.IFNA(VLOOKUP($C105&amp;","&amp;E3,汇编指令!$C$2:$D$235,2,FALSE),"-1")</f>
        <v>-1</v>
      </c>
      <c r="F105" s="32" t="str">
        <f>_xlfn.IFNA(VLOOKUP($C105&amp;","&amp;F3,汇编指令!$C$2:$D$235,2,FALSE),"-1")</f>
        <v>-1</v>
      </c>
      <c r="G105" s="32" t="str">
        <f>_xlfn.IFNA(VLOOKUP($C105&amp;","&amp;G3,汇编指令!$C$2:$D$235,2,FALSE),"-1")</f>
        <v>-1</v>
      </c>
      <c r="H105" s="32" t="str">
        <f>_xlfn.IFNA(VLOOKUP($C105&amp;","&amp;H3,汇编指令!$C$2:$D$235,2,FALSE),"-1")</f>
        <v>-1</v>
      </c>
      <c r="I105" s="32" t="str">
        <f>_xlfn.IFNA(VLOOKUP($C105&amp;","&amp;I3,汇编指令!$C$2:$D$235,2,FALSE),"-1")</f>
        <v>-1</v>
      </c>
      <c r="J105" s="32" t="str">
        <f>_xlfn.IFNA(VLOOKUP($C105&amp;","&amp;J3,汇编指令!$C$2:$D$235,2,FALSE),"-1")</f>
        <v>-1</v>
      </c>
      <c r="K105" s="32" t="str">
        <f>_xlfn.IFNA(VLOOKUP($C105&amp;","&amp;K3,汇编指令!$C$2:$D$235,2,FALSE),"-1")</f>
        <v>-1</v>
      </c>
      <c r="L105" s="32" t="str">
        <f>_xlfn.IFNA(VLOOKUP($C105&amp;","&amp;L3,汇编指令!$C$2:$D$235,2,FALSE),"-1")</f>
        <v>-1</v>
      </c>
      <c r="M105" s="32" t="str">
        <f>_xlfn.IFNA(VLOOKUP($C105&amp;","&amp;M3,汇编指令!$C$2:$D$235,2,FALSE),"-1")</f>
        <v>-1</v>
      </c>
      <c r="N105" s="32" t="str">
        <f>_xlfn.IFNA(VLOOKUP($C105&amp;","&amp;N3,汇编指令!$C$2:$D$235,2,FALSE),"-1")</f>
        <v>-1</v>
      </c>
      <c r="O105" s="32" t="str">
        <f>_xlfn.IFNA(VLOOKUP($C105&amp;","&amp;O3,汇编指令!$C$2:$D$235,2,FALSE),"-1")</f>
        <v>-1</v>
      </c>
      <c r="P105" s="32" t="str">
        <f>_xlfn.IFNA(VLOOKUP($C105&amp;","&amp;P3,汇编指令!$C$2:$D$235,2,FALSE),"-1")</f>
        <v>-1</v>
      </c>
      <c r="Q105" s="32" t="str">
        <f>_xlfn.IFNA(VLOOKUP($C105&amp;","&amp;Q3,汇编指令!$C$2:$D$235,2,FALSE),"-1")</f>
        <v>-1</v>
      </c>
      <c r="R105" s="32" t="str">
        <f>_xlfn.IFNA(VLOOKUP($C105&amp;","&amp;R3,汇编指令!$C$2:$D$235,2,FALSE),"-1")</f>
        <v>-1</v>
      </c>
      <c r="S105" s="32" t="str">
        <f>_xlfn.IFNA(VLOOKUP($C105&amp;","&amp;S3,汇编指令!$C$2:$D$235,2,FALSE),"-1")</f>
        <v>-1</v>
      </c>
      <c r="T105" s="32" t="str">
        <f>_xlfn.IFNA(VLOOKUP($C105&amp;","&amp;T3,汇编指令!$C$2:$D$235,2,FALSE),"-1")</f>
        <v>-1</v>
      </c>
      <c r="U105" s="32" t="str">
        <f>_xlfn.IFNA(VLOOKUP($C105&amp;","&amp;U3,汇编指令!$C$2:$D$235,2,FALSE),"-1")</f>
        <v>-1</v>
      </c>
      <c r="V105" s="32" t="str">
        <f>_xlfn.IFNA(VLOOKUP($C105&amp;","&amp;V3,汇编指令!$C$2:$D$235,2,FALSE),"-1")</f>
        <v>-1</v>
      </c>
      <c r="W105" s="32" t="str">
        <f>_xlfn.IFNA(VLOOKUP($C105&amp;","&amp;W3,汇编指令!$C$2:$D$235,2,FALSE),"-1")</f>
        <v>-1</v>
      </c>
      <c r="X105" s="33" t="str">
        <f>_xlfn.IFNA(VLOOKUP($C105&amp;","&amp;X3,汇编指令!$C$2:$D$235,2,FALSE),"-1")</f>
        <v>B8</v>
      </c>
      <c r="Y105" s="32" t="str">
        <f>_xlfn.IFNA(VLOOKUP($C105&amp;","&amp;Y3,汇编指令!$C$2:$D$235,2,FALSE),"-1")</f>
        <v>-1</v>
      </c>
      <c r="Z105" s="32" t="str">
        <f>_xlfn.IFNA(VLOOKUP($C105&amp;","&amp;Z3,汇编指令!$C$2:$D$235,2,FALSE),"-1")</f>
        <v>-1</v>
      </c>
      <c r="AA105" s="32" t="str">
        <f>_xlfn.IFNA(VLOOKUP($C105&amp;","&amp;AA3,汇编指令!$C$2:$D$235,2,FALSE),"-1")</f>
        <v>-1</v>
      </c>
      <c r="AB105" s="53" t="str">
        <f>_xlfn.IFNA(VLOOKUP($C105&amp;","&amp;AB3,汇编指令!$C$2:$D$235,2,FALSE),"-1")</f>
        <v>-1</v>
      </c>
    </row>
    <row r="106" ht="20" customHeight="1" spans="1:28">
      <c r="A106" s="16">
        <v>3</v>
      </c>
      <c r="B106" s="21">
        <f t="shared" si="16"/>
        <v>102</v>
      </c>
      <c r="C106" s="36" t="s">
        <v>1021</v>
      </c>
      <c r="D106" s="23" t="str">
        <f t="shared" si="14"/>
        <v>66</v>
      </c>
      <c r="E106" s="34" t="str">
        <f>_xlfn.IFNA(VLOOKUP($C106&amp;","&amp;E3,汇编指令!$C$2:$D$235,2,FALSE),"-1")</f>
        <v>-1</v>
      </c>
      <c r="F106" s="32" t="str">
        <f>_xlfn.IFNA(VLOOKUP($C106&amp;","&amp;F3,汇编指令!$C$2:$D$235,2,FALSE),"-1")</f>
        <v>-1</v>
      </c>
      <c r="G106" s="32" t="str">
        <f>_xlfn.IFNA(VLOOKUP($C106&amp;","&amp;G3,汇编指令!$C$2:$D$235,2,FALSE),"-1")</f>
        <v>-1</v>
      </c>
      <c r="H106" s="32" t="str">
        <f>_xlfn.IFNA(VLOOKUP($C106&amp;","&amp;H3,汇编指令!$C$2:$D$235,2,FALSE),"-1")</f>
        <v>-1</v>
      </c>
      <c r="I106" s="32" t="str">
        <f>_xlfn.IFNA(VLOOKUP($C106&amp;","&amp;I3,汇编指令!$C$2:$D$235,2,FALSE),"-1")</f>
        <v>-1</v>
      </c>
      <c r="J106" s="32" t="str">
        <f>_xlfn.IFNA(VLOOKUP($C106&amp;","&amp;J3,汇编指令!$C$2:$D$235,2,FALSE),"-1")</f>
        <v>-1</v>
      </c>
      <c r="K106" s="32" t="str">
        <f>_xlfn.IFNA(VLOOKUP($C106&amp;","&amp;K3,汇编指令!$C$2:$D$235,2,FALSE),"-1")</f>
        <v>-1</v>
      </c>
      <c r="L106" s="32" t="str">
        <f>_xlfn.IFNA(VLOOKUP($C106&amp;","&amp;L3,汇编指令!$C$2:$D$235,2,FALSE),"-1")</f>
        <v>-1</v>
      </c>
      <c r="M106" s="32" t="str">
        <f>_xlfn.IFNA(VLOOKUP($C106&amp;","&amp;M3,汇编指令!$C$2:$D$235,2,FALSE),"-1")</f>
        <v>-1</v>
      </c>
      <c r="N106" s="32" t="str">
        <f>_xlfn.IFNA(VLOOKUP($C106&amp;","&amp;N3,汇编指令!$C$2:$D$235,2,FALSE),"-1")</f>
        <v>-1</v>
      </c>
      <c r="O106" s="32" t="str">
        <f>_xlfn.IFNA(VLOOKUP($C106&amp;","&amp;O3,汇编指令!$C$2:$D$235,2,FALSE),"-1")</f>
        <v>-1</v>
      </c>
      <c r="P106" s="32" t="str">
        <f>_xlfn.IFNA(VLOOKUP($C106&amp;","&amp;P3,汇编指令!$C$2:$D$235,2,FALSE),"-1")</f>
        <v>-1</v>
      </c>
      <c r="Q106" s="32" t="str">
        <f>_xlfn.IFNA(VLOOKUP($C106&amp;","&amp;Q3,汇编指令!$C$2:$D$235,2,FALSE),"-1")</f>
        <v>-1</v>
      </c>
      <c r="R106" s="32" t="str">
        <f>_xlfn.IFNA(VLOOKUP($C106&amp;","&amp;R3,汇编指令!$C$2:$D$235,2,FALSE),"-1")</f>
        <v>-1</v>
      </c>
      <c r="S106" s="32" t="str">
        <f>_xlfn.IFNA(VLOOKUP($C106&amp;","&amp;S3,汇编指令!$C$2:$D$235,2,FALSE),"-1")</f>
        <v>-1</v>
      </c>
      <c r="T106" s="32" t="str">
        <f>_xlfn.IFNA(VLOOKUP($C106&amp;","&amp;T3,汇编指令!$C$2:$D$235,2,FALSE),"-1")</f>
        <v>-1</v>
      </c>
      <c r="U106" s="32" t="str">
        <f>_xlfn.IFNA(VLOOKUP($C106&amp;","&amp;U3,汇编指令!$C$2:$D$235,2,FALSE),"-1")</f>
        <v>-1</v>
      </c>
      <c r="V106" s="32" t="str">
        <f>_xlfn.IFNA(VLOOKUP($C106&amp;","&amp;V3,汇编指令!$C$2:$D$235,2,FALSE),"-1")</f>
        <v>-1</v>
      </c>
      <c r="W106" s="32" t="str">
        <f>_xlfn.IFNA(VLOOKUP($C106&amp;","&amp;W3,汇编指令!$C$2:$D$235,2,FALSE),"-1")</f>
        <v>-1</v>
      </c>
      <c r="X106" s="33" t="str">
        <f>_xlfn.IFNA(VLOOKUP($C106&amp;","&amp;X3,汇编指令!$C$2:$D$235,2,FALSE),"-1")</f>
        <v>B9</v>
      </c>
      <c r="Y106" s="32" t="str">
        <f>_xlfn.IFNA(VLOOKUP($C106&amp;","&amp;Y3,汇编指令!$C$2:$D$235,2,FALSE),"-1")</f>
        <v>-1</v>
      </c>
      <c r="Z106" s="32" t="str">
        <f>_xlfn.IFNA(VLOOKUP($C106&amp;","&amp;Z3,汇编指令!$C$2:$D$235,2,FALSE),"-1")</f>
        <v>-1</v>
      </c>
      <c r="AA106" s="32" t="str">
        <f>_xlfn.IFNA(VLOOKUP($C106&amp;","&amp;AA3,汇编指令!$C$2:$D$235,2,FALSE),"-1")</f>
        <v>-1</v>
      </c>
      <c r="AB106" s="53" t="str">
        <f>_xlfn.IFNA(VLOOKUP($C106&amp;","&amp;AB3,汇编指令!$C$2:$D$235,2,FALSE),"-1")</f>
        <v>-1</v>
      </c>
    </row>
    <row r="107" ht="20" customHeight="1" spans="1:28">
      <c r="A107" s="16">
        <v>3</v>
      </c>
      <c r="B107" s="21">
        <f t="shared" si="16"/>
        <v>103</v>
      </c>
      <c r="C107" s="36" t="s">
        <v>1022</v>
      </c>
      <c r="D107" s="23" t="str">
        <f t="shared" si="14"/>
        <v>67</v>
      </c>
      <c r="E107" s="34" t="str">
        <f>_xlfn.IFNA(VLOOKUP($C107&amp;","&amp;E3,汇编指令!$C$2:$D$235,2,FALSE),"-1")</f>
        <v>-1</v>
      </c>
      <c r="F107" s="32" t="str">
        <f>_xlfn.IFNA(VLOOKUP($C107&amp;","&amp;F3,汇编指令!$C$2:$D$235,2,FALSE),"-1")</f>
        <v>-1</v>
      </c>
      <c r="G107" s="32" t="str">
        <f>_xlfn.IFNA(VLOOKUP($C107&amp;","&amp;G3,汇编指令!$C$2:$D$235,2,FALSE),"-1")</f>
        <v>-1</v>
      </c>
      <c r="H107" s="32" t="str">
        <f>_xlfn.IFNA(VLOOKUP($C107&amp;","&amp;H3,汇编指令!$C$2:$D$235,2,FALSE),"-1")</f>
        <v>-1</v>
      </c>
      <c r="I107" s="32" t="str">
        <f>_xlfn.IFNA(VLOOKUP($C107&amp;","&amp;I3,汇编指令!$C$2:$D$235,2,FALSE),"-1")</f>
        <v>-1</v>
      </c>
      <c r="J107" s="32" t="str">
        <f>_xlfn.IFNA(VLOOKUP($C107&amp;","&amp;J3,汇编指令!$C$2:$D$235,2,FALSE),"-1")</f>
        <v>-1</v>
      </c>
      <c r="K107" s="32" t="str">
        <f>_xlfn.IFNA(VLOOKUP($C107&amp;","&amp;K3,汇编指令!$C$2:$D$235,2,FALSE),"-1")</f>
        <v>-1</v>
      </c>
      <c r="L107" s="32" t="str">
        <f>_xlfn.IFNA(VLOOKUP($C107&amp;","&amp;L3,汇编指令!$C$2:$D$235,2,FALSE),"-1")</f>
        <v>-1</v>
      </c>
      <c r="M107" s="32" t="str">
        <f>_xlfn.IFNA(VLOOKUP($C107&amp;","&amp;M3,汇编指令!$C$2:$D$235,2,FALSE),"-1")</f>
        <v>-1</v>
      </c>
      <c r="N107" s="32" t="str">
        <f>_xlfn.IFNA(VLOOKUP($C107&amp;","&amp;N3,汇编指令!$C$2:$D$235,2,FALSE),"-1")</f>
        <v>-1</v>
      </c>
      <c r="O107" s="32" t="str">
        <f>_xlfn.IFNA(VLOOKUP($C107&amp;","&amp;O3,汇编指令!$C$2:$D$235,2,FALSE),"-1")</f>
        <v>-1</v>
      </c>
      <c r="P107" s="32" t="str">
        <f>_xlfn.IFNA(VLOOKUP($C107&amp;","&amp;P3,汇编指令!$C$2:$D$235,2,FALSE),"-1")</f>
        <v>-1</v>
      </c>
      <c r="Q107" s="32" t="str">
        <f>_xlfn.IFNA(VLOOKUP($C107&amp;","&amp;Q3,汇编指令!$C$2:$D$235,2,FALSE),"-1")</f>
        <v>-1</v>
      </c>
      <c r="R107" s="32" t="str">
        <f>_xlfn.IFNA(VLOOKUP($C107&amp;","&amp;R3,汇编指令!$C$2:$D$235,2,FALSE),"-1")</f>
        <v>-1</v>
      </c>
      <c r="S107" s="32" t="str">
        <f>_xlfn.IFNA(VLOOKUP($C107&amp;","&amp;S3,汇编指令!$C$2:$D$235,2,FALSE),"-1")</f>
        <v>-1</v>
      </c>
      <c r="T107" s="32" t="str">
        <f>_xlfn.IFNA(VLOOKUP($C107&amp;","&amp;T3,汇编指令!$C$2:$D$235,2,FALSE),"-1")</f>
        <v>-1</v>
      </c>
      <c r="U107" s="32" t="str">
        <f>_xlfn.IFNA(VLOOKUP($C107&amp;","&amp;U3,汇编指令!$C$2:$D$235,2,FALSE),"-1")</f>
        <v>-1</v>
      </c>
      <c r="V107" s="32" t="str">
        <f>_xlfn.IFNA(VLOOKUP($C107&amp;","&amp;V3,汇编指令!$C$2:$D$235,2,FALSE),"-1")</f>
        <v>-1</v>
      </c>
      <c r="W107" s="32" t="str">
        <f>_xlfn.IFNA(VLOOKUP($C107&amp;","&amp;W3,汇编指令!$C$2:$D$235,2,FALSE),"-1")</f>
        <v>-1</v>
      </c>
      <c r="X107" s="33" t="str">
        <f>_xlfn.IFNA(VLOOKUP($C107&amp;","&amp;X3,汇编指令!$C$2:$D$235,2,FALSE),"-1")</f>
        <v>BA</v>
      </c>
      <c r="Y107" s="32" t="str">
        <f>_xlfn.IFNA(VLOOKUP($C107&amp;","&amp;Y3,汇编指令!$C$2:$D$235,2,FALSE),"-1")</f>
        <v>-1</v>
      </c>
      <c r="Z107" s="32" t="str">
        <f>_xlfn.IFNA(VLOOKUP($C107&amp;","&amp;Z3,汇编指令!$C$2:$D$235,2,FALSE),"-1")</f>
        <v>-1</v>
      </c>
      <c r="AA107" s="32" t="str">
        <f>_xlfn.IFNA(VLOOKUP($C107&amp;","&amp;AA3,汇编指令!$C$2:$D$235,2,FALSE),"-1")</f>
        <v>-1</v>
      </c>
      <c r="AB107" s="53" t="str">
        <f>_xlfn.IFNA(VLOOKUP($C107&amp;","&amp;AB3,汇编指令!$C$2:$D$235,2,FALSE),"-1")</f>
        <v>-1</v>
      </c>
    </row>
    <row r="108" ht="20" customHeight="1" spans="1:28">
      <c r="A108" s="16">
        <v>3</v>
      </c>
      <c r="B108" s="21">
        <f t="shared" si="16"/>
        <v>104</v>
      </c>
      <c r="C108" s="36" t="s">
        <v>1023</v>
      </c>
      <c r="D108" s="23" t="str">
        <f t="shared" si="14"/>
        <v>68</v>
      </c>
      <c r="E108" s="34" t="str">
        <f>_xlfn.IFNA(VLOOKUP($C108&amp;","&amp;E3,汇编指令!$C$2:$D$235,2,FALSE),"-1")</f>
        <v>-1</v>
      </c>
      <c r="F108" s="32" t="str">
        <f>_xlfn.IFNA(VLOOKUP($C108&amp;","&amp;F3,汇编指令!$C$2:$D$235,2,FALSE),"-1")</f>
        <v>-1</v>
      </c>
      <c r="G108" s="32" t="str">
        <f>_xlfn.IFNA(VLOOKUP($C108&amp;","&amp;G3,汇编指令!$C$2:$D$235,2,FALSE),"-1")</f>
        <v>-1</v>
      </c>
      <c r="H108" s="32" t="str">
        <f>_xlfn.IFNA(VLOOKUP($C108&amp;","&amp;H3,汇编指令!$C$2:$D$235,2,FALSE),"-1")</f>
        <v>-1</v>
      </c>
      <c r="I108" s="32" t="str">
        <f>_xlfn.IFNA(VLOOKUP($C108&amp;","&amp;I3,汇编指令!$C$2:$D$235,2,FALSE),"-1")</f>
        <v>-1</v>
      </c>
      <c r="J108" s="32" t="str">
        <f>_xlfn.IFNA(VLOOKUP($C108&amp;","&amp;J3,汇编指令!$C$2:$D$235,2,FALSE),"-1")</f>
        <v>-1</v>
      </c>
      <c r="K108" s="32" t="str">
        <f>_xlfn.IFNA(VLOOKUP($C108&amp;","&amp;K3,汇编指令!$C$2:$D$235,2,FALSE),"-1")</f>
        <v>-1</v>
      </c>
      <c r="L108" s="32" t="str">
        <f>_xlfn.IFNA(VLOOKUP($C108&amp;","&amp;L3,汇编指令!$C$2:$D$235,2,FALSE),"-1")</f>
        <v>-1</v>
      </c>
      <c r="M108" s="32" t="str">
        <f>_xlfn.IFNA(VLOOKUP($C108&amp;","&amp;M3,汇编指令!$C$2:$D$235,2,FALSE),"-1")</f>
        <v>-1</v>
      </c>
      <c r="N108" s="32" t="str">
        <f>_xlfn.IFNA(VLOOKUP($C108&amp;","&amp;N3,汇编指令!$C$2:$D$235,2,FALSE),"-1")</f>
        <v>-1</v>
      </c>
      <c r="O108" s="32" t="str">
        <f>_xlfn.IFNA(VLOOKUP($C108&amp;","&amp;O3,汇编指令!$C$2:$D$235,2,FALSE),"-1")</f>
        <v>-1</v>
      </c>
      <c r="P108" s="32" t="str">
        <f>_xlfn.IFNA(VLOOKUP($C108&amp;","&amp;P3,汇编指令!$C$2:$D$235,2,FALSE),"-1")</f>
        <v>-1</v>
      </c>
      <c r="Q108" s="32" t="str">
        <f>_xlfn.IFNA(VLOOKUP($C108&amp;","&amp;Q3,汇编指令!$C$2:$D$235,2,FALSE),"-1")</f>
        <v>-1</v>
      </c>
      <c r="R108" s="32" t="str">
        <f>_xlfn.IFNA(VLOOKUP($C108&amp;","&amp;R3,汇编指令!$C$2:$D$235,2,FALSE),"-1")</f>
        <v>-1</v>
      </c>
      <c r="S108" s="32" t="str">
        <f>_xlfn.IFNA(VLOOKUP($C108&amp;","&amp;S3,汇编指令!$C$2:$D$235,2,FALSE),"-1")</f>
        <v>-1</v>
      </c>
      <c r="T108" s="32" t="str">
        <f>_xlfn.IFNA(VLOOKUP($C108&amp;","&amp;T3,汇编指令!$C$2:$D$235,2,FALSE),"-1")</f>
        <v>-1</v>
      </c>
      <c r="U108" s="32" t="str">
        <f>_xlfn.IFNA(VLOOKUP($C108&amp;","&amp;U3,汇编指令!$C$2:$D$235,2,FALSE),"-1")</f>
        <v>-1</v>
      </c>
      <c r="V108" s="32" t="str">
        <f>_xlfn.IFNA(VLOOKUP($C108&amp;","&amp;V3,汇编指令!$C$2:$D$235,2,FALSE),"-1")</f>
        <v>-1</v>
      </c>
      <c r="W108" s="32" t="str">
        <f>_xlfn.IFNA(VLOOKUP($C108&amp;","&amp;W3,汇编指令!$C$2:$D$235,2,FALSE),"-1")</f>
        <v>-1</v>
      </c>
      <c r="X108" s="33" t="str">
        <f>_xlfn.IFNA(VLOOKUP($C108&amp;","&amp;X3,汇编指令!$C$2:$D$235,2,FALSE),"-1")</f>
        <v>BB</v>
      </c>
      <c r="Y108" s="32" t="str">
        <f>_xlfn.IFNA(VLOOKUP($C108&amp;","&amp;Y3,汇编指令!$C$2:$D$235,2,FALSE),"-1")</f>
        <v>-1</v>
      </c>
      <c r="Z108" s="32" t="str">
        <f>_xlfn.IFNA(VLOOKUP($C108&amp;","&amp;Z3,汇编指令!$C$2:$D$235,2,FALSE),"-1")</f>
        <v>-1</v>
      </c>
      <c r="AA108" s="32" t="str">
        <f>_xlfn.IFNA(VLOOKUP($C108&amp;","&amp;AA3,汇编指令!$C$2:$D$235,2,FALSE),"-1")</f>
        <v>-1</v>
      </c>
      <c r="AB108" s="53" t="str">
        <f>_xlfn.IFNA(VLOOKUP($C108&amp;","&amp;AB3,汇编指令!$C$2:$D$235,2,FALSE),"-1")</f>
        <v>-1</v>
      </c>
    </row>
    <row r="109" ht="20" customHeight="1" spans="1:28">
      <c r="A109" s="16">
        <v>3</v>
      </c>
      <c r="B109" s="21">
        <f t="shared" si="16"/>
        <v>105</v>
      </c>
      <c r="C109" s="36" t="s">
        <v>1024</v>
      </c>
      <c r="D109" s="23" t="str">
        <f t="shared" si="14"/>
        <v>69</v>
      </c>
      <c r="E109" s="34" t="str">
        <f>_xlfn.IFNA(VLOOKUP($C109&amp;","&amp;E3,汇编指令!$C$2:$D$235,2,FALSE),"-1")</f>
        <v>-1</v>
      </c>
      <c r="F109" s="32" t="str">
        <f>_xlfn.IFNA(VLOOKUP($C109&amp;","&amp;F3,汇编指令!$C$2:$D$235,2,FALSE),"-1")</f>
        <v>-1</v>
      </c>
      <c r="G109" s="32" t="str">
        <f>_xlfn.IFNA(VLOOKUP($C109&amp;","&amp;G3,汇编指令!$C$2:$D$235,2,FALSE),"-1")</f>
        <v>-1</v>
      </c>
      <c r="H109" s="32" t="str">
        <f>_xlfn.IFNA(VLOOKUP($C109&amp;","&amp;H3,汇编指令!$C$2:$D$235,2,FALSE),"-1")</f>
        <v>-1</v>
      </c>
      <c r="I109" s="32" t="str">
        <f>_xlfn.IFNA(VLOOKUP($C109&amp;","&amp;I3,汇编指令!$C$2:$D$235,2,FALSE),"-1")</f>
        <v>-1</v>
      </c>
      <c r="J109" s="32" t="str">
        <f>_xlfn.IFNA(VLOOKUP($C109&amp;","&amp;J3,汇编指令!$C$2:$D$235,2,FALSE),"-1")</f>
        <v>-1</v>
      </c>
      <c r="K109" s="32" t="str">
        <f>_xlfn.IFNA(VLOOKUP($C109&amp;","&amp;K3,汇编指令!$C$2:$D$235,2,FALSE),"-1")</f>
        <v>-1</v>
      </c>
      <c r="L109" s="32" t="str">
        <f>_xlfn.IFNA(VLOOKUP($C109&amp;","&amp;L3,汇编指令!$C$2:$D$235,2,FALSE),"-1")</f>
        <v>-1</v>
      </c>
      <c r="M109" s="32" t="str">
        <f>_xlfn.IFNA(VLOOKUP($C109&amp;","&amp;M3,汇编指令!$C$2:$D$235,2,FALSE),"-1")</f>
        <v>-1</v>
      </c>
      <c r="N109" s="32" t="str">
        <f>_xlfn.IFNA(VLOOKUP($C109&amp;","&amp;N3,汇编指令!$C$2:$D$235,2,FALSE),"-1")</f>
        <v>-1</v>
      </c>
      <c r="O109" s="32" t="str">
        <f>_xlfn.IFNA(VLOOKUP($C109&amp;","&amp;O3,汇编指令!$C$2:$D$235,2,FALSE),"-1")</f>
        <v>-1</v>
      </c>
      <c r="P109" s="32" t="str">
        <f>_xlfn.IFNA(VLOOKUP($C109&amp;","&amp;P3,汇编指令!$C$2:$D$235,2,FALSE),"-1")</f>
        <v>-1</v>
      </c>
      <c r="Q109" s="32" t="str">
        <f>_xlfn.IFNA(VLOOKUP($C109&amp;","&amp;Q3,汇编指令!$C$2:$D$235,2,FALSE),"-1")</f>
        <v>-1</v>
      </c>
      <c r="R109" s="32" t="str">
        <f>_xlfn.IFNA(VLOOKUP($C109&amp;","&amp;R3,汇编指令!$C$2:$D$235,2,FALSE),"-1")</f>
        <v>-1</v>
      </c>
      <c r="S109" s="32" t="str">
        <f>_xlfn.IFNA(VLOOKUP($C109&amp;","&amp;S3,汇编指令!$C$2:$D$235,2,FALSE),"-1")</f>
        <v>-1</v>
      </c>
      <c r="T109" s="32" t="str">
        <f>_xlfn.IFNA(VLOOKUP($C109&amp;","&amp;T3,汇编指令!$C$2:$D$235,2,FALSE),"-1")</f>
        <v>-1</v>
      </c>
      <c r="U109" s="32" t="str">
        <f>_xlfn.IFNA(VLOOKUP($C109&amp;","&amp;U3,汇编指令!$C$2:$D$235,2,FALSE),"-1")</f>
        <v>-1</v>
      </c>
      <c r="V109" s="32" t="str">
        <f>_xlfn.IFNA(VLOOKUP($C109&amp;","&amp;V3,汇编指令!$C$2:$D$235,2,FALSE),"-1")</f>
        <v>-1</v>
      </c>
      <c r="W109" s="32" t="str">
        <f>_xlfn.IFNA(VLOOKUP($C109&amp;","&amp;W3,汇编指令!$C$2:$D$235,2,FALSE),"-1")</f>
        <v>-1</v>
      </c>
      <c r="X109" s="33" t="str">
        <f>_xlfn.IFNA(VLOOKUP($C109&amp;","&amp;X3,汇编指令!$C$2:$D$235,2,FALSE),"-1")</f>
        <v>BC</v>
      </c>
      <c r="Y109" s="32" t="str">
        <f>_xlfn.IFNA(VLOOKUP($C109&amp;","&amp;Y3,汇编指令!$C$2:$D$235,2,FALSE),"-1")</f>
        <v>-1</v>
      </c>
      <c r="Z109" s="32" t="str">
        <f>_xlfn.IFNA(VLOOKUP($C109&amp;","&amp;Z3,汇编指令!$C$2:$D$235,2,FALSE),"-1")</f>
        <v>-1</v>
      </c>
      <c r="AA109" s="32" t="str">
        <f>_xlfn.IFNA(VLOOKUP($C109&amp;","&amp;AA3,汇编指令!$C$2:$D$235,2,FALSE),"-1")</f>
        <v>-1</v>
      </c>
      <c r="AB109" s="53" t="str">
        <f>_xlfn.IFNA(VLOOKUP($C109&amp;","&amp;AB3,汇编指令!$C$2:$D$235,2,FALSE),"-1")</f>
        <v>-1</v>
      </c>
    </row>
    <row r="110" ht="20" customHeight="1" spans="1:28">
      <c r="A110" s="16">
        <v>3</v>
      </c>
      <c r="B110" s="21">
        <f t="shared" si="16"/>
        <v>106</v>
      </c>
      <c r="C110" s="36" t="s">
        <v>1025</v>
      </c>
      <c r="D110" s="23" t="str">
        <f t="shared" si="14"/>
        <v>6A</v>
      </c>
      <c r="E110" s="34" t="str">
        <f>_xlfn.IFNA(VLOOKUP($C110&amp;","&amp;E3,汇编指令!$C$2:$D$235,2,FALSE),"-1")</f>
        <v>-1</v>
      </c>
      <c r="F110" s="32" t="str">
        <f>_xlfn.IFNA(VLOOKUP($C110&amp;","&amp;F3,汇编指令!$C$2:$D$235,2,FALSE),"-1")</f>
        <v>-1</v>
      </c>
      <c r="G110" s="32" t="str">
        <f>_xlfn.IFNA(VLOOKUP($C110&amp;","&amp;G3,汇编指令!$C$2:$D$235,2,FALSE),"-1")</f>
        <v>-1</v>
      </c>
      <c r="H110" s="32" t="str">
        <f>_xlfn.IFNA(VLOOKUP($C110&amp;","&amp;H3,汇编指令!$C$2:$D$235,2,FALSE),"-1")</f>
        <v>-1</v>
      </c>
      <c r="I110" s="32" t="str">
        <f>_xlfn.IFNA(VLOOKUP($C110&amp;","&amp;I3,汇编指令!$C$2:$D$235,2,FALSE),"-1")</f>
        <v>-1</v>
      </c>
      <c r="J110" s="32" t="str">
        <f>_xlfn.IFNA(VLOOKUP($C110&amp;","&amp;J3,汇编指令!$C$2:$D$235,2,FALSE),"-1")</f>
        <v>-1</v>
      </c>
      <c r="K110" s="32" t="str">
        <f>_xlfn.IFNA(VLOOKUP($C110&amp;","&amp;K3,汇编指令!$C$2:$D$235,2,FALSE),"-1")</f>
        <v>-1</v>
      </c>
      <c r="L110" s="32" t="str">
        <f>_xlfn.IFNA(VLOOKUP($C110&amp;","&amp;L3,汇编指令!$C$2:$D$235,2,FALSE),"-1")</f>
        <v>-1</v>
      </c>
      <c r="M110" s="32" t="str">
        <f>_xlfn.IFNA(VLOOKUP($C110&amp;","&amp;M3,汇编指令!$C$2:$D$235,2,FALSE),"-1")</f>
        <v>-1</v>
      </c>
      <c r="N110" s="32" t="str">
        <f>_xlfn.IFNA(VLOOKUP($C110&amp;","&amp;N3,汇编指令!$C$2:$D$235,2,FALSE),"-1")</f>
        <v>-1</v>
      </c>
      <c r="O110" s="32" t="str">
        <f>_xlfn.IFNA(VLOOKUP($C110&amp;","&amp;O3,汇编指令!$C$2:$D$235,2,FALSE),"-1")</f>
        <v>-1</v>
      </c>
      <c r="P110" s="32" t="str">
        <f>_xlfn.IFNA(VLOOKUP($C110&amp;","&amp;P3,汇编指令!$C$2:$D$235,2,FALSE),"-1")</f>
        <v>-1</v>
      </c>
      <c r="Q110" s="32" t="str">
        <f>_xlfn.IFNA(VLOOKUP($C110&amp;","&amp;Q3,汇编指令!$C$2:$D$235,2,FALSE),"-1")</f>
        <v>-1</v>
      </c>
      <c r="R110" s="32" t="str">
        <f>_xlfn.IFNA(VLOOKUP($C110&amp;","&amp;R3,汇编指令!$C$2:$D$235,2,FALSE),"-1")</f>
        <v>-1</v>
      </c>
      <c r="S110" s="32" t="str">
        <f>_xlfn.IFNA(VLOOKUP($C110&amp;","&amp;S3,汇编指令!$C$2:$D$235,2,FALSE),"-1")</f>
        <v>-1</v>
      </c>
      <c r="T110" s="32" t="str">
        <f>_xlfn.IFNA(VLOOKUP($C110&amp;","&amp;T3,汇编指令!$C$2:$D$235,2,FALSE),"-1")</f>
        <v>-1</v>
      </c>
      <c r="U110" s="32" t="str">
        <f>_xlfn.IFNA(VLOOKUP($C110&amp;","&amp;U3,汇编指令!$C$2:$D$235,2,FALSE),"-1")</f>
        <v>-1</v>
      </c>
      <c r="V110" s="32" t="str">
        <f>_xlfn.IFNA(VLOOKUP($C110&amp;","&amp;V3,汇编指令!$C$2:$D$235,2,FALSE),"-1")</f>
        <v>-1</v>
      </c>
      <c r="W110" s="32" t="str">
        <f>_xlfn.IFNA(VLOOKUP($C110&amp;","&amp;W3,汇编指令!$C$2:$D$235,2,FALSE),"-1")</f>
        <v>-1</v>
      </c>
      <c r="X110" s="33" t="str">
        <f>_xlfn.IFNA(VLOOKUP($C110&amp;","&amp;X3,汇编指令!$C$2:$D$235,2,FALSE),"-1")</f>
        <v>BD</v>
      </c>
      <c r="Y110" s="32" t="str">
        <f>_xlfn.IFNA(VLOOKUP($C110&amp;","&amp;Y3,汇编指令!$C$2:$D$235,2,FALSE),"-1")</f>
        <v>-1</v>
      </c>
      <c r="Z110" s="32" t="str">
        <f>_xlfn.IFNA(VLOOKUP($C110&amp;","&amp;Z3,汇编指令!$C$2:$D$235,2,FALSE),"-1")</f>
        <v>-1</v>
      </c>
      <c r="AA110" s="32" t="str">
        <f>_xlfn.IFNA(VLOOKUP($C110&amp;","&amp;AA3,汇编指令!$C$2:$D$235,2,FALSE),"-1")</f>
        <v>-1</v>
      </c>
      <c r="AB110" s="53" t="str">
        <f>_xlfn.IFNA(VLOOKUP($C110&amp;","&amp;AB3,汇编指令!$C$2:$D$235,2,FALSE),"-1")</f>
        <v>-1</v>
      </c>
    </row>
    <row r="111" ht="20" customHeight="1" spans="1:28">
      <c r="A111" s="16">
        <v>3</v>
      </c>
      <c r="B111" s="21">
        <f t="shared" si="16"/>
        <v>107</v>
      </c>
      <c r="C111" s="36" t="s">
        <v>1026</v>
      </c>
      <c r="D111" s="23" t="str">
        <f t="shared" si="14"/>
        <v>6B</v>
      </c>
      <c r="E111" s="34" t="str">
        <f>_xlfn.IFNA(VLOOKUP($C111&amp;","&amp;E3,汇编指令!$C$2:$D$235,2,FALSE),"-1")</f>
        <v>-1</v>
      </c>
      <c r="F111" s="32" t="str">
        <f>_xlfn.IFNA(VLOOKUP($C111&amp;","&amp;F3,汇编指令!$C$2:$D$235,2,FALSE),"-1")</f>
        <v>-1</v>
      </c>
      <c r="G111" s="32" t="str">
        <f>_xlfn.IFNA(VLOOKUP($C111&amp;","&amp;G3,汇编指令!$C$2:$D$235,2,FALSE),"-1")</f>
        <v>-1</v>
      </c>
      <c r="H111" s="32" t="str">
        <f>_xlfn.IFNA(VLOOKUP($C111&amp;","&amp;H3,汇编指令!$C$2:$D$235,2,FALSE),"-1")</f>
        <v>-1</v>
      </c>
      <c r="I111" s="32" t="str">
        <f>_xlfn.IFNA(VLOOKUP($C111&amp;","&amp;I3,汇编指令!$C$2:$D$235,2,FALSE),"-1")</f>
        <v>-1</v>
      </c>
      <c r="J111" s="32" t="str">
        <f>_xlfn.IFNA(VLOOKUP($C111&amp;","&amp;J3,汇编指令!$C$2:$D$235,2,FALSE),"-1")</f>
        <v>-1</v>
      </c>
      <c r="K111" s="32" t="str">
        <f>_xlfn.IFNA(VLOOKUP($C111&amp;","&amp;K3,汇编指令!$C$2:$D$235,2,FALSE),"-1")</f>
        <v>-1</v>
      </c>
      <c r="L111" s="32" t="str">
        <f>_xlfn.IFNA(VLOOKUP($C111&amp;","&amp;L3,汇编指令!$C$2:$D$235,2,FALSE),"-1")</f>
        <v>-1</v>
      </c>
      <c r="M111" s="32" t="str">
        <f>_xlfn.IFNA(VLOOKUP($C111&amp;","&amp;M3,汇编指令!$C$2:$D$235,2,FALSE),"-1")</f>
        <v>-1</v>
      </c>
      <c r="N111" s="32" t="str">
        <f>_xlfn.IFNA(VLOOKUP($C111&amp;","&amp;N3,汇编指令!$C$2:$D$235,2,FALSE),"-1")</f>
        <v>-1</v>
      </c>
      <c r="O111" s="32" t="str">
        <f>_xlfn.IFNA(VLOOKUP($C111&amp;","&amp;O3,汇编指令!$C$2:$D$235,2,FALSE),"-1")</f>
        <v>-1</v>
      </c>
      <c r="P111" s="32" t="str">
        <f>_xlfn.IFNA(VLOOKUP($C111&amp;","&amp;P3,汇编指令!$C$2:$D$235,2,FALSE),"-1")</f>
        <v>-1</v>
      </c>
      <c r="Q111" s="32" t="str">
        <f>_xlfn.IFNA(VLOOKUP($C111&amp;","&amp;Q3,汇编指令!$C$2:$D$235,2,FALSE),"-1")</f>
        <v>-1</v>
      </c>
      <c r="R111" s="32" t="str">
        <f>_xlfn.IFNA(VLOOKUP($C111&amp;","&amp;R3,汇编指令!$C$2:$D$235,2,FALSE),"-1")</f>
        <v>-1</v>
      </c>
      <c r="S111" s="32" t="str">
        <f>_xlfn.IFNA(VLOOKUP($C111&amp;","&amp;S3,汇编指令!$C$2:$D$235,2,FALSE),"-1")</f>
        <v>-1</v>
      </c>
      <c r="T111" s="32" t="str">
        <f>_xlfn.IFNA(VLOOKUP($C111&amp;","&amp;T3,汇编指令!$C$2:$D$235,2,FALSE),"-1")</f>
        <v>-1</v>
      </c>
      <c r="U111" s="32" t="str">
        <f>_xlfn.IFNA(VLOOKUP($C111&amp;","&amp;U3,汇编指令!$C$2:$D$235,2,FALSE),"-1")</f>
        <v>-1</v>
      </c>
      <c r="V111" s="32" t="str">
        <f>_xlfn.IFNA(VLOOKUP($C111&amp;","&amp;V3,汇编指令!$C$2:$D$235,2,FALSE),"-1")</f>
        <v>-1</v>
      </c>
      <c r="W111" s="32" t="str">
        <f>_xlfn.IFNA(VLOOKUP($C111&amp;","&amp;W3,汇编指令!$C$2:$D$235,2,FALSE),"-1")</f>
        <v>-1</v>
      </c>
      <c r="X111" s="33" t="str">
        <f>_xlfn.IFNA(VLOOKUP($C111&amp;","&amp;X3,汇编指令!$C$2:$D$235,2,FALSE),"-1")</f>
        <v>BE</v>
      </c>
      <c r="Y111" s="32" t="str">
        <f>_xlfn.IFNA(VLOOKUP($C111&amp;","&amp;Y3,汇编指令!$C$2:$D$235,2,FALSE),"-1")</f>
        <v>-1</v>
      </c>
      <c r="Z111" s="32" t="str">
        <f>_xlfn.IFNA(VLOOKUP($C111&amp;","&amp;Z3,汇编指令!$C$2:$D$235,2,FALSE),"-1")</f>
        <v>-1</v>
      </c>
      <c r="AA111" s="32" t="str">
        <f>_xlfn.IFNA(VLOOKUP($C111&amp;","&amp;AA3,汇编指令!$C$2:$D$235,2,FALSE),"-1")</f>
        <v>-1</v>
      </c>
      <c r="AB111" s="53" t="str">
        <f>_xlfn.IFNA(VLOOKUP($C111&amp;","&amp;AB3,汇编指令!$C$2:$D$235,2,FALSE),"-1")</f>
        <v>-1</v>
      </c>
    </row>
    <row r="112" ht="20" customHeight="1" spans="1:28">
      <c r="A112" s="16">
        <v>3</v>
      </c>
      <c r="B112" s="21">
        <f t="shared" si="16"/>
        <v>108</v>
      </c>
      <c r="C112" s="37" t="s">
        <v>1027</v>
      </c>
      <c r="D112" s="23" t="str">
        <f t="shared" si="14"/>
        <v>6C</v>
      </c>
      <c r="E112" s="38" t="str">
        <f>_xlfn.IFNA(VLOOKUP($C112&amp;","&amp;E3,汇编指令!$C$2:$D$235,2,FALSE),"-1")</f>
        <v>-1</v>
      </c>
      <c r="F112" s="39" t="str">
        <f>_xlfn.IFNA(VLOOKUP($C112&amp;","&amp;F3,汇编指令!$C$2:$D$235,2,FALSE),"-1")</f>
        <v>-1</v>
      </c>
      <c r="G112" s="39" t="str">
        <f>_xlfn.IFNA(VLOOKUP($C112&amp;","&amp;G3,汇编指令!$C$2:$D$235,2,FALSE),"-1")</f>
        <v>-1</v>
      </c>
      <c r="H112" s="39" t="str">
        <f>_xlfn.IFNA(VLOOKUP($C112&amp;","&amp;H3,汇编指令!$C$2:$D$235,2,FALSE),"-1")</f>
        <v>-1</v>
      </c>
      <c r="I112" s="39" t="str">
        <f>_xlfn.IFNA(VLOOKUP($C112&amp;","&amp;I3,汇编指令!$C$2:$D$235,2,FALSE),"-1")</f>
        <v>-1</v>
      </c>
      <c r="J112" s="39" t="str">
        <f>_xlfn.IFNA(VLOOKUP($C112&amp;","&amp;J3,汇编指令!$C$2:$D$235,2,FALSE),"-1")</f>
        <v>-1</v>
      </c>
      <c r="K112" s="39" t="str">
        <f>_xlfn.IFNA(VLOOKUP($C112&amp;","&amp;K3,汇编指令!$C$2:$D$235,2,FALSE),"-1")</f>
        <v>-1</v>
      </c>
      <c r="L112" s="39" t="str">
        <f>_xlfn.IFNA(VLOOKUP($C112&amp;","&amp;L3,汇编指令!$C$2:$D$235,2,FALSE),"-1")</f>
        <v>-1</v>
      </c>
      <c r="M112" s="39" t="str">
        <f>_xlfn.IFNA(VLOOKUP($C112&amp;","&amp;M3,汇编指令!$C$2:$D$235,2,FALSE),"-1")</f>
        <v>-1</v>
      </c>
      <c r="N112" s="39" t="str">
        <f>_xlfn.IFNA(VLOOKUP($C112&amp;","&amp;N3,汇编指令!$C$2:$D$235,2,FALSE),"-1")</f>
        <v>-1</v>
      </c>
      <c r="O112" s="39" t="str">
        <f>_xlfn.IFNA(VLOOKUP($C112&amp;","&amp;O3,汇编指令!$C$2:$D$235,2,FALSE),"-1")</f>
        <v>-1</v>
      </c>
      <c r="P112" s="39" t="str">
        <f>_xlfn.IFNA(VLOOKUP($C112&amp;","&amp;P3,汇编指令!$C$2:$D$235,2,FALSE),"-1")</f>
        <v>-1</v>
      </c>
      <c r="Q112" s="39" t="str">
        <f>_xlfn.IFNA(VLOOKUP($C112&amp;","&amp;Q3,汇编指令!$C$2:$D$235,2,FALSE),"-1")</f>
        <v>-1</v>
      </c>
      <c r="R112" s="39" t="str">
        <f>_xlfn.IFNA(VLOOKUP($C112&amp;","&amp;R3,汇编指令!$C$2:$D$235,2,FALSE),"-1")</f>
        <v>-1</v>
      </c>
      <c r="S112" s="39" t="str">
        <f>_xlfn.IFNA(VLOOKUP($C112&amp;","&amp;S3,汇编指令!$C$2:$D$235,2,FALSE),"-1")</f>
        <v>-1</v>
      </c>
      <c r="T112" s="39" t="str">
        <f>_xlfn.IFNA(VLOOKUP($C112&amp;","&amp;T3,汇编指令!$C$2:$D$235,2,FALSE),"-1")</f>
        <v>-1</v>
      </c>
      <c r="U112" s="39" t="str">
        <f>_xlfn.IFNA(VLOOKUP($C112&amp;","&amp;U3,汇编指令!$C$2:$D$235,2,FALSE),"-1")</f>
        <v>-1</v>
      </c>
      <c r="V112" s="39" t="str">
        <f>_xlfn.IFNA(VLOOKUP($C112&amp;","&amp;V3,汇编指令!$C$2:$D$235,2,FALSE),"-1")</f>
        <v>-1</v>
      </c>
      <c r="W112" s="39" t="str">
        <f>_xlfn.IFNA(VLOOKUP($C112&amp;","&amp;W3,汇编指令!$C$2:$D$235,2,FALSE),"-1")</f>
        <v>-1</v>
      </c>
      <c r="X112" s="40" t="str">
        <f>_xlfn.IFNA(VLOOKUP($C112&amp;","&amp;X3,汇编指令!$C$2:$D$235,2,FALSE),"-1")</f>
        <v>BF</v>
      </c>
      <c r="Y112" s="39" t="str">
        <f>_xlfn.IFNA(VLOOKUP($C112&amp;","&amp;Y3,汇编指令!$C$2:$D$235,2,FALSE),"-1")</f>
        <v>-1</v>
      </c>
      <c r="Z112" s="39" t="str">
        <f>_xlfn.IFNA(VLOOKUP($C112&amp;","&amp;Z3,汇编指令!$C$2:$D$235,2,FALSE),"-1")</f>
        <v>-1</v>
      </c>
      <c r="AA112" s="39" t="str">
        <f>_xlfn.IFNA(VLOOKUP($C112&amp;","&amp;AA3,汇编指令!$C$2:$D$235,2,FALSE),"-1")</f>
        <v>-1</v>
      </c>
      <c r="AB112" s="56" t="str">
        <f>_xlfn.IFNA(VLOOKUP($C112&amp;","&amp;AB3,汇编指令!$C$2:$D$235,2,FALSE),"-1")</f>
        <v>-1</v>
      </c>
    </row>
  </sheetData>
  <sortState ref="A4:AA112">
    <sortCondition ref="A4:A112"/>
    <sortCondition ref="C4:C112"/>
  </sortState>
  <mergeCells count="1">
    <mergeCell ref="A1:Z1"/>
  </mergeCells>
  <conditionalFormatting sqref="C4:C112">
    <cfRule type="duplicateValues" dxfId="0" priority="2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2"/>
  <sheetViews>
    <sheetView tabSelected="1" workbookViewId="0">
      <pane ySplit="3" topLeftCell="A73" activePane="bottomLeft" state="frozen"/>
      <selection/>
      <selection pane="bottomLeft" activeCell="E7" sqref="E7"/>
    </sheetView>
  </sheetViews>
  <sheetFormatPr defaultColWidth="9.23076923076923" defaultRowHeight="16.8"/>
  <cols>
    <col min="2" max="2" width="4.48076923076923" style="8" customWidth="1"/>
    <col min="3" max="3" width="17.4711538461538" style="1" customWidth="1"/>
    <col min="4" max="4" width="7.36538461538461" style="9" customWidth="1"/>
    <col min="5" max="13" width="4.69230769230769" customWidth="1"/>
    <col min="14" max="18" width="6.69230769230769" customWidth="1"/>
    <col min="20" max="20" width="8.17307692307692" customWidth="1"/>
    <col min="21" max="21" width="11.0480769230769" customWidth="1"/>
    <col min="22" max="22" width="8.48076923076923" customWidth="1"/>
    <col min="23" max="23" width="6.69230769230769" customWidth="1"/>
    <col min="24" max="26" width="4.69230769230769" customWidth="1"/>
    <col min="27" max="28" width="4.69230769230769" style="1" customWidth="1"/>
    <col min="29" max="29" width="9.23076923076923" style="1"/>
  </cols>
  <sheetData>
    <row r="1" ht="37" customHeight="1" spans="1:26">
      <c r="A1" s="10" t="s">
        <v>900</v>
      </c>
      <c r="B1" s="9"/>
      <c r="C1" s="10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" customHeight="1" spans="1:28">
      <c r="A2" s="12"/>
      <c r="B2" s="13"/>
      <c r="C2" s="12"/>
      <c r="D2" s="13"/>
      <c r="E2" s="14">
        <f t="shared" ref="E2:AB2" si="0">COLUMN()-3</f>
        <v>2</v>
      </c>
      <c r="F2" s="14">
        <f t="shared" si="0"/>
        <v>3</v>
      </c>
      <c r="G2" s="14">
        <f t="shared" si="0"/>
        <v>4</v>
      </c>
      <c r="H2" s="14">
        <f t="shared" si="0"/>
        <v>5</v>
      </c>
      <c r="I2" s="14">
        <f t="shared" si="0"/>
        <v>6</v>
      </c>
      <c r="J2" s="14">
        <f t="shared" si="0"/>
        <v>7</v>
      </c>
      <c r="K2" s="14">
        <f t="shared" si="0"/>
        <v>8</v>
      </c>
      <c r="L2" s="14">
        <f t="shared" si="0"/>
        <v>9</v>
      </c>
      <c r="M2" s="14">
        <f t="shared" si="0"/>
        <v>10</v>
      </c>
      <c r="N2" s="14">
        <f t="shared" si="0"/>
        <v>11</v>
      </c>
      <c r="O2" s="14">
        <f t="shared" si="0"/>
        <v>12</v>
      </c>
      <c r="P2" s="14">
        <f t="shared" si="0"/>
        <v>13</v>
      </c>
      <c r="Q2" s="14">
        <f t="shared" si="0"/>
        <v>14</v>
      </c>
      <c r="R2" s="14">
        <f t="shared" si="0"/>
        <v>15</v>
      </c>
      <c r="S2" s="14">
        <f t="shared" si="0"/>
        <v>16</v>
      </c>
      <c r="T2" s="14">
        <f t="shared" si="0"/>
        <v>17</v>
      </c>
      <c r="U2" s="14">
        <f t="shared" si="0"/>
        <v>18</v>
      </c>
      <c r="V2" s="14">
        <f t="shared" si="0"/>
        <v>19</v>
      </c>
      <c r="W2" s="14">
        <f t="shared" si="0"/>
        <v>20</v>
      </c>
      <c r="X2" s="14">
        <f t="shared" si="0"/>
        <v>21</v>
      </c>
      <c r="Y2" s="14">
        <f t="shared" si="0"/>
        <v>22</v>
      </c>
      <c r="Z2" s="14">
        <f t="shared" si="0"/>
        <v>23</v>
      </c>
      <c r="AA2" s="14">
        <f t="shared" si="0"/>
        <v>24</v>
      </c>
      <c r="AB2" s="14">
        <f t="shared" si="0"/>
        <v>25</v>
      </c>
    </row>
    <row r="3" ht="20" customHeight="1" spans="1:28">
      <c r="A3" s="14" t="s">
        <v>901</v>
      </c>
      <c r="B3" s="15"/>
      <c r="C3" s="14" t="s">
        <v>902</v>
      </c>
      <c r="D3" s="15"/>
      <c r="E3" s="25" t="s">
        <v>903</v>
      </c>
      <c r="F3" s="25" t="s">
        <v>54</v>
      </c>
      <c r="G3" s="25" t="s">
        <v>58</v>
      </c>
      <c r="H3" s="25" t="s">
        <v>60</v>
      </c>
      <c r="I3" s="25" t="s">
        <v>62</v>
      </c>
      <c r="J3" s="25" t="s">
        <v>64</v>
      </c>
      <c r="K3" s="25" t="s">
        <v>65</v>
      </c>
      <c r="L3" s="25" t="s">
        <v>66</v>
      </c>
      <c r="M3" s="25" t="s">
        <v>67</v>
      </c>
      <c r="N3" t="s">
        <v>904</v>
      </c>
      <c r="O3" s="25" t="s">
        <v>905</v>
      </c>
      <c r="P3" s="25" t="s">
        <v>906</v>
      </c>
      <c r="Q3" s="25" t="s">
        <v>907</v>
      </c>
      <c r="R3" s="25" t="s">
        <v>908</v>
      </c>
      <c r="S3" s="25" t="s">
        <v>909</v>
      </c>
      <c r="T3" s="25" t="s">
        <v>910</v>
      </c>
      <c r="U3" s="25" t="s">
        <v>911</v>
      </c>
      <c r="V3" s="25" t="s">
        <v>912</v>
      </c>
      <c r="W3" s="25" t="s">
        <v>913</v>
      </c>
      <c r="X3" s="25" t="s">
        <v>914</v>
      </c>
      <c r="Y3" s="25" t="s">
        <v>915</v>
      </c>
      <c r="Z3" s="25" t="s">
        <v>916</v>
      </c>
      <c r="AA3" s="25" t="s">
        <v>917</v>
      </c>
      <c r="AB3" s="25" t="s">
        <v>918</v>
      </c>
    </row>
    <row r="4" ht="20" customHeight="1" spans="1:29">
      <c r="A4" s="16">
        <v>0</v>
      </c>
      <c r="B4" s="15">
        <f t="shared" ref="B4:B67" si="1">ROW()-4</f>
        <v>0</v>
      </c>
      <c r="C4" s="17" t="s">
        <v>919</v>
      </c>
      <c r="D4" s="18" t="str">
        <f t="shared" ref="D4:D67" si="2">DEC2HEX(B4)</f>
        <v>0</v>
      </c>
      <c r="E4" s="41" t="str">
        <f>_xlfn.IFNA(VLOOKUP($C4&amp;","&amp;E3,$C$69:$D$112,2,FALSE),"-1")</f>
        <v>-1</v>
      </c>
      <c r="F4" s="42" t="str">
        <f>_xlfn.IFNA(VLOOKUP($C4&amp;","&amp;F3,$C$69:$D$112,2,FALSE),"-1")</f>
        <v>-1</v>
      </c>
      <c r="G4" s="42" t="str">
        <f>_xlfn.IFNA(VLOOKUP($C4&amp;","&amp;G3,$C$69:$D$112,2,FALSE),"-1")</f>
        <v>-1</v>
      </c>
      <c r="H4" s="42" t="str">
        <f>_xlfn.IFNA(VLOOKUP($C4&amp;","&amp;H3,$C$69:$D$112,2,FALSE),"-1")</f>
        <v>-1</v>
      </c>
      <c r="I4" s="42" t="str">
        <f>_xlfn.IFNA(VLOOKUP($C4&amp;","&amp;I3,$C$69:$D$112,2,FALSE),"-1")</f>
        <v>-1</v>
      </c>
      <c r="J4" s="42" t="str">
        <f>_xlfn.IFNA(VLOOKUP($C4&amp;","&amp;J3,$C$69:$D$112,2,FALSE),"-1")</f>
        <v>-1</v>
      </c>
      <c r="K4" s="42" t="str">
        <f>_xlfn.IFNA(VLOOKUP($C4&amp;","&amp;K3,$C$69:$D$112,2,FALSE),"-1")</f>
        <v>-1</v>
      </c>
      <c r="L4" s="42" t="str">
        <f>_xlfn.IFNA(VLOOKUP($C4&amp;","&amp;L3,$C$69:$D$112,2,FALSE),"-1")</f>
        <v>-1</v>
      </c>
      <c r="M4" s="42" t="str">
        <f>_xlfn.IFNA(VLOOKUP($C4&amp;","&amp;M3,$C$69:$D$112,2,FALSE),"-1")</f>
        <v>-1</v>
      </c>
      <c r="N4" s="42" t="str">
        <f>_xlfn.IFNA(VLOOKUP($C4&amp;","&amp;N3,$C$69:$D$112,2,FALSE),"-1")</f>
        <v>-1</v>
      </c>
      <c r="O4" s="42" t="str">
        <f>_xlfn.IFNA(VLOOKUP($C4&amp;","&amp;O3,$C$69:$D$112,2,FALSE),"-1")</f>
        <v>-1</v>
      </c>
      <c r="P4" s="42" t="str">
        <f>_xlfn.IFNA(VLOOKUP($C4&amp;","&amp;P3,$C$69:$D$112,2,FALSE),"-1")</f>
        <v>-1</v>
      </c>
      <c r="Q4" s="42" t="str">
        <f>_xlfn.IFNA(VLOOKUP($C4&amp;","&amp;Q3,$C$69:$D$112,2,FALSE),"-1")</f>
        <v>-1</v>
      </c>
      <c r="R4" s="42" t="str">
        <f>_xlfn.IFNA(VLOOKUP($C4&amp;","&amp;R3,$C$69:$D$112,2,FALSE),"-1")</f>
        <v>-1</v>
      </c>
      <c r="S4" s="42" t="str">
        <f>_xlfn.IFNA(VLOOKUP($C4&amp;","&amp;S3,$C$69:$D$112,2,FALSE),"-1")</f>
        <v>-1</v>
      </c>
      <c r="T4" s="42" t="str">
        <f>_xlfn.IFNA(VLOOKUP($C4&amp;","&amp;T3,$C$69:$D$112,2,FALSE),"-1")</f>
        <v>-1</v>
      </c>
      <c r="U4" s="42" t="str">
        <f>_xlfn.IFNA(VLOOKUP($C4&amp;","&amp;U3,$C$69:$D$112,2,FALSE),"-1")</f>
        <v>-1</v>
      </c>
      <c r="V4" s="42" t="str">
        <f>_xlfn.IFNA(VLOOKUP($C4&amp;","&amp;V3,$C$69:$D$112,2,FALSE),"-1")</f>
        <v>-1</v>
      </c>
      <c r="W4" s="42" t="str">
        <f>_xlfn.IFNA(VLOOKUP($C4&amp;","&amp;W3,$C$69:$D$112,2,FALSE),"-1")</f>
        <v>-1</v>
      </c>
      <c r="X4" s="42" t="str">
        <f>_xlfn.IFNA(VLOOKUP($C4&amp;","&amp;X3,$C$69:$D$112,2,FALSE),"-1")</f>
        <v>-1</v>
      </c>
      <c r="Y4" s="42" t="str">
        <f>_xlfn.IFNA(VLOOKUP($C4&amp;","&amp;Y3,$C$69:$D$112,2,FALSE),"-1")</f>
        <v>-1</v>
      </c>
      <c r="Z4" s="42" t="str">
        <f>_xlfn.IFNA(VLOOKUP($C4&amp;","&amp;Z3,$C$69:$D$112,2,FALSE),"-1")</f>
        <v>-1</v>
      </c>
      <c r="AA4" s="42" t="str">
        <f>_xlfn.IFNA(VLOOKUP($C4&amp;","&amp;AA3,$C$69:$D$112,2,FALSE),"-1")</f>
        <v>-1</v>
      </c>
      <c r="AB4" s="48" t="str">
        <f>_xlfn.IFNA(VLOOKUP($C4&amp;","&amp;AB3,$C$69:$D$112,2,FALSE),"-1")</f>
        <v>-1</v>
      </c>
      <c r="AC4" s="1">
        <v>0</v>
      </c>
    </row>
    <row r="5" ht="20" customHeight="1" spans="1:29">
      <c r="A5" s="16">
        <v>0</v>
      </c>
      <c r="B5" s="15">
        <f t="shared" si="1"/>
        <v>1</v>
      </c>
      <c r="C5" s="17" t="s">
        <v>920</v>
      </c>
      <c r="D5" s="18" t="str">
        <f t="shared" si="2"/>
        <v>1</v>
      </c>
      <c r="E5" s="43" t="str">
        <f>_xlfn.IFNA(VLOOKUP($C5&amp;","&amp;E3,$C$69:$D$112,2,FALSE),"-1")</f>
        <v>-1</v>
      </c>
      <c r="F5" s="26" t="str">
        <f>_xlfn.IFNA(VLOOKUP($C5&amp;","&amp;F3,$C$69:$D$112,2,FALSE),"-1")</f>
        <v>-1</v>
      </c>
      <c r="G5" s="26" t="str">
        <f>_xlfn.IFNA(VLOOKUP($C5&amp;","&amp;G3,$C$69:$D$112,2,FALSE),"-1")</f>
        <v>-1</v>
      </c>
      <c r="H5" s="26" t="str">
        <f>_xlfn.IFNA(VLOOKUP($C5&amp;","&amp;H3,$C$69:$D$112,2,FALSE),"-1")</f>
        <v>-1</v>
      </c>
      <c r="I5" s="26" t="str">
        <f>_xlfn.IFNA(VLOOKUP($C5&amp;","&amp;I3,$C$69:$D$112,2,FALSE),"-1")</f>
        <v>-1</v>
      </c>
      <c r="J5" s="26" t="str">
        <f>_xlfn.IFNA(VLOOKUP($C5&amp;","&amp;J3,$C$69:$D$112,2,FALSE),"-1")</f>
        <v>-1</v>
      </c>
      <c r="K5" s="26" t="str">
        <f>_xlfn.IFNA(VLOOKUP($C5&amp;","&amp;K3,$C$69:$D$112,2,FALSE),"-1")</f>
        <v>-1</v>
      </c>
      <c r="L5" s="26" t="str">
        <f>_xlfn.IFNA(VLOOKUP($C5&amp;","&amp;L3,$C$69:$D$112,2,FALSE),"-1")</f>
        <v>-1</v>
      </c>
      <c r="M5" s="26" t="str">
        <f>_xlfn.IFNA(VLOOKUP($C5&amp;","&amp;M3,$C$69:$D$112,2,FALSE),"-1")</f>
        <v>-1</v>
      </c>
      <c r="N5" s="26" t="str">
        <f>_xlfn.IFNA(VLOOKUP($C5&amp;","&amp;N3,$C$69:$D$112,2,FALSE),"-1")</f>
        <v>-1</v>
      </c>
      <c r="O5" s="26" t="str">
        <f>_xlfn.IFNA(VLOOKUP($C5&amp;","&amp;O3,$C$69:$D$112,2,FALSE),"-1")</f>
        <v>-1</v>
      </c>
      <c r="P5" s="26" t="str">
        <f>_xlfn.IFNA(VLOOKUP($C5&amp;","&amp;P3,$C$69:$D$112,2,FALSE),"-1")</f>
        <v>-1</v>
      </c>
      <c r="Q5" s="26" t="str">
        <f>_xlfn.IFNA(VLOOKUP($C5&amp;","&amp;Q3,$C$69:$D$112,2,FALSE),"-1")</f>
        <v>-1</v>
      </c>
      <c r="R5" s="26" t="str">
        <f>_xlfn.IFNA(VLOOKUP($C5&amp;","&amp;R3,$C$69:$D$112,2,FALSE),"-1")</f>
        <v>-1</v>
      </c>
      <c r="S5" s="26" t="str">
        <f>_xlfn.IFNA(VLOOKUP($C5&amp;","&amp;S3,$C$69:$D$112,2,FALSE),"-1")</f>
        <v>-1</v>
      </c>
      <c r="T5" s="26" t="str">
        <f>_xlfn.IFNA(VLOOKUP($C5&amp;","&amp;T3,$C$69:$D$112,2,FALSE),"-1")</f>
        <v>-1</v>
      </c>
      <c r="U5" s="26" t="str">
        <f>_xlfn.IFNA(VLOOKUP($C5&amp;","&amp;U3,$C$69:$D$112,2,FALSE),"-1")</f>
        <v>-1</v>
      </c>
      <c r="V5" s="26" t="str">
        <f>_xlfn.IFNA(VLOOKUP($C5&amp;","&amp;V3,$C$69:$D$112,2,FALSE),"-1")</f>
        <v>-1</v>
      </c>
      <c r="W5" s="26" t="str">
        <f>_xlfn.IFNA(VLOOKUP($C5&amp;","&amp;W3,$C$69:$D$112,2,FALSE),"-1")</f>
        <v>-1</v>
      </c>
      <c r="X5" s="26" t="str">
        <f>_xlfn.IFNA(VLOOKUP($C5&amp;","&amp;X3,$C$69:$D$112,2,FALSE),"-1")</f>
        <v>-1</v>
      </c>
      <c r="Y5" s="26" t="str">
        <f>_xlfn.IFNA(VLOOKUP($C5&amp;","&amp;Y3,$C$69:$D$112,2,FALSE),"-1")</f>
        <v>-1</v>
      </c>
      <c r="Z5" s="26" t="str">
        <f>_xlfn.IFNA(VLOOKUP($C5&amp;","&amp;Z3,$C$69:$D$112,2,FALSE),"-1")</f>
        <v>-1</v>
      </c>
      <c r="AA5" s="26" t="str">
        <f>_xlfn.IFNA(VLOOKUP($C5&amp;","&amp;AA3,$C$69:$D$112,2,FALSE),"-1")</f>
        <v>-1</v>
      </c>
      <c r="AB5" s="49" t="str">
        <f>_xlfn.IFNA(VLOOKUP($C5&amp;","&amp;AB3,$C$69:$D$112,2,FALSE),"-1")</f>
        <v>-1</v>
      </c>
      <c r="AC5" s="1">
        <v>22</v>
      </c>
    </row>
    <row r="6" ht="20" customHeight="1" spans="1:29">
      <c r="A6" s="16">
        <v>0</v>
      </c>
      <c r="B6" s="15">
        <f t="shared" si="1"/>
        <v>2</v>
      </c>
      <c r="C6" s="17" t="s">
        <v>921</v>
      </c>
      <c r="D6" s="18" t="str">
        <f t="shared" si="2"/>
        <v>2</v>
      </c>
      <c r="E6" s="43" t="str">
        <f>_xlfn.IFNA(VLOOKUP($C6&amp;","&amp;E3,$C$69:$D$112,2,FALSE),"-1")</f>
        <v>-1</v>
      </c>
      <c r="F6" s="26" t="str">
        <f>_xlfn.IFNA(VLOOKUP($C6&amp;","&amp;F3,$C$69:$D$112,2,FALSE),"-1")</f>
        <v>-1</v>
      </c>
      <c r="G6" s="26" t="str">
        <f>_xlfn.IFNA(VLOOKUP($C6&amp;","&amp;G3,$C$69:$D$112,2,FALSE),"-1")</f>
        <v>-1</v>
      </c>
      <c r="H6" s="26" t="str">
        <f>_xlfn.IFNA(VLOOKUP($C6&amp;","&amp;H3,$C$69:$D$112,2,FALSE),"-1")</f>
        <v>-1</v>
      </c>
      <c r="I6" s="26" t="str">
        <f>_xlfn.IFNA(VLOOKUP($C6&amp;","&amp;I3,$C$69:$D$112,2,FALSE),"-1")</f>
        <v>-1</v>
      </c>
      <c r="J6" s="26" t="str">
        <f>_xlfn.IFNA(VLOOKUP($C6&amp;","&amp;J3,$C$69:$D$112,2,FALSE),"-1")</f>
        <v>-1</v>
      </c>
      <c r="K6" s="26" t="str">
        <f>_xlfn.IFNA(VLOOKUP($C6&amp;","&amp;K3,$C$69:$D$112,2,FALSE),"-1")</f>
        <v>-1</v>
      </c>
      <c r="L6" s="26" t="str">
        <f>_xlfn.IFNA(VLOOKUP($C6&amp;","&amp;L3,$C$69:$D$112,2,FALSE),"-1")</f>
        <v>-1</v>
      </c>
      <c r="M6" s="26" t="str">
        <f>_xlfn.IFNA(VLOOKUP($C6&amp;","&amp;M3,$C$69:$D$112,2,FALSE),"-1")</f>
        <v>-1</v>
      </c>
      <c r="N6" s="26" t="str">
        <f>_xlfn.IFNA(VLOOKUP($C6&amp;","&amp;N3,$C$69:$D$112,2,FALSE),"-1")</f>
        <v>-1</v>
      </c>
      <c r="O6" s="26" t="str">
        <f>_xlfn.IFNA(VLOOKUP($C6&amp;","&amp;O3,$C$69:$D$112,2,FALSE),"-1")</f>
        <v>-1</v>
      </c>
      <c r="P6" s="26" t="str">
        <f>_xlfn.IFNA(VLOOKUP($C6&amp;","&amp;P3,$C$69:$D$112,2,FALSE),"-1")</f>
        <v>-1</v>
      </c>
      <c r="Q6" s="26" t="str">
        <f>_xlfn.IFNA(VLOOKUP($C6&amp;","&amp;Q3,$C$69:$D$112,2,FALSE),"-1")</f>
        <v>-1</v>
      </c>
      <c r="R6" s="26" t="str">
        <f>_xlfn.IFNA(VLOOKUP($C6&amp;","&amp;R3,$C$69:$D$112,2,FALSE),"-1")</f>
        <v>-1</v>
      </c>
      <c r="S6" s="26" t="str">
        <f>_xlfn.IFNA(VLOOKUP($C6&amp;","&amp;S3,$C$69:$D$112,2,FALSE),"-1")</f>
        <v>-1</v>
      </c>
      <c r="T6" s="26" t="str">
        <f>_xlfn.IFNA(VLOOKUP($C6&amp;","&amp;T3,$C$69:$D$112,2,FALSE),"-1")</f>
        <v>-1</v>
      </c>
      <c r="U6" s="26" t="str">
        <f>_xlfn.IFNA(VLOOKUP($C6&amp;","&amp;U3,$C$69:$D$112,2,FALSE),"-1")</f>
        <v>-1</v>
      </c>
      <c r="V6" s="26" t="str">
        <f>_xlfn.IFNA(VLOOKUP($C6&amp;","&amp;V3,$C$69:$D$112,2,FALSE),"-1")</f>
        <v>-1</v>
      </c>
      <c r="W6" s="26" t="str">
        <f>_xlfn.IFNA(VLOOKUP($C6&amp;","&amp;W3,$C$69:$D$112,2,FALSE),"-1")</f>
        <v>-1</v>
      </c>
      <c r="X6" s="26" t="str">
        <f>_xlfn.IFNA(VLOOKUP($C6&amp;","&amp;X3,$C$69:$D$112,2,FALSE),"-1")</f>
        <v>-1</v>
      </c>
      <c r="Y6" s="26" t="str">
        <f>_xlfn.IFNA(VLOOKUP($C6&amp;","&amp;Y3,$C$69:$D$112,2,FALSE),"-1")</f>
        <v>-1</v>
      </c>
      <c r="Z6" s="26" t="str">
        <f>_xlfn.IFNA(VLOOKUP($C6&amp;","&amp;Z3,$C$69:$D$112,2,FALSE),"-1")</f>
        <v>-1</v>
      </c>
      <c r="AA6" s="26" t="str">
        <f>_xlfn.IFNA(VLOOKUP($C6&amp;","&amp;AA3,$C$69:$D$112,2,FALSE),"-1")</f>
        <v>-1</v>
      </c>
      <c r="AB6" s="49" t="str">
        <f>_xlfn.IFNA(VLOOKUP($C6&amp;","&amp;AB3,$C$69:$D$112,2,FALSE),"-1")</f>
        <v>-1</v>
      </c>
      <c r="AC6" s="1">
        <v>32</v>
      </c>
    </row>
    <row r="7" ht="20" customHeight="1" spans="1:28">
      <c r="A7" s="16">
        <v>2</v>
      </c>
      <c r="B7" s="15">
        <f t="shared" si="1"/>
        <v>3</v>
      </c>
      <c r="C7" s="19" t="s">
        <v>922</v>
      </c>
      <c r="D7" s="18" t="str">
        <f t="shared" si="2"/>
        <v>3</v>
      </c>
      <c r="E7" s="43" t="str">
        <f>_xlfn.IFNA(VLOOKUP($C7&amp;","&amp;E3,$C$34:$D$112,2,FALSE),"-1")</f>
        <v>35</v>
      </c>
      <c r="F7" s="27" t="str">
        <f>_xlfn.IFNA(VLOOKUP($C7&amp;","&amp;F3,$C$34:$D$112,2,FALSE),"-1")</f>
        <v>-1</v>
      </c>
      <c r="G7" s="27" t="str">
        <f>_xlfn.IFNA(VLOOKUP($C7&amp;","&amp;G3,$C$34:$D$112,2,FALSE),"-1")</f>
        <v>-1</v>
      </c>
      <c r="H7" s="27" t="str">
        <f>_xlfn.IFNA(VLOOKUP($C7&amp;","&amp;H3,$C$34:$D$112,2,FALSE),"-1")</f>
        <v>-1</v>
      </c>
      <c r="I7" s="27" t="str">
        <f>_xlfn.IFNA(VLOOKUP($C7&amp;","&amp;I3,$C$34:$D$112,2,FALSE),"-1")</f>
        <v>-1</v>
      </c>
      <c r="J7" s="27" t="str">
        <f>_xlfn.IFNA(VLOOKUP($C7&amp;","&amp;J3,$C$34:$D$112,2,FALSE),"-1")</f>
        <v>-1</v>
      </c>
      <c r="K7" s="27" t="str">
        <f>_xlfn.IFNA(VLOOKUP($C7&amp;","&amp;K3,$C$34:$D$112,2,FALSE),"-1")</f>
        <v>-1</v>
      </c>
      <c r="L7" s="27" t="str">
        <f>_xlfn.IFNA(VLOOKUP($C7&amp;","&amp;L3,$C$34:$D$112,2,FALSE),"-1")</f>
        <v>-1</v>
      </c>
      <c r="M7" s="27" t="str">
        <f>_xlfn.IFNA(VLOOKUP($C7&amp;","&amp;M3,$C$34:$D$112,2,FALSE),"-1")</f>
        <v>-1</v>
      </c>
      <c r="N7" s="27" t="str">
        <f>_xlfn.IFNA(VLOOKUP($C7&amp;","&amp;N3,$C$34:$D$112,2,FALSE),"-1")</f>
        <v>-1</v>
      </c>
      <c r="O7" s="27" t="str">
        <f>_xlfn.IFNA(VLOOKUP($C7&amp;","&amp;O3,$C$34:$D$112,2,FALSE),"-1")</f>
        <v>-1</v>
      </c>
      <c r="P7" s="27" t="str">
        <f>_xlfn.IFNA(VLOOKUP($C7&amp;","&amp;P3,$C$34:$D$112,2,FALSE),"-1")</f>
        <v>-1</v>
      </c>
      <c r="Q7" s="27" t="str">
        <f>_xlfn.IFNA(VLOOKUP($C7&amp;","&amp;Q3,$C$34:$D$112,2,FALSE),"-1")</f>
        <v>-1</v>
      </c>
      <c r="R7" s="27" t="str">
        <f>_xlfn.IFNA(VLOOKUP($C7&amp;","&amp;R3,$C$34:$D$112,2,FALSE),"-1")</f>
        <v>-1</v>
      </c>
      <c r="S7" s="27" t="str">
        <f>_xlfn.IFNA(VLOOKUP($C7&amp;","&amp;S3,$C$34:$D$112,2,FALSE),"-1")</f>
        <v>-1</v>
      </c>
      <c r="T7" s="27" t="str">
        <f>_xlfn.IFNA(VLOOKUP($C7&amp;","&amp;T3,$C$34:$D$112,2,FALSE),"-1")</f>
        <v>-1</v>
      </c>
      <c r="U7" s="27" t="str">
        <f>_xlfn.IFNA(VLOOKUP($C7&amp;","&amp;U3,$C$34:$D$112,2,FALSE),"-1")</f>
        <v>-1</v>
      </c>
      <c r="V7" s="27" t="str">
        <f>_xlfn.IFNA(VLOOKUP($C7&amp;","&amp;V3,$C$34:$D$112,2,FALSE),"-1")</f>
        <v>-1</v>
      </c>
      <c r="W7" s="27" t="str">
        <f>_xlfn.IFNA(VLOOKUP($C7&amp;","&amp;W3,$C$34:$D$112,2,FALSE),"-1")</f>
        <v>-1</v>
      </c>
      <c r="X7" s="27" t="str">
        <f>_xlfn.IFNA(VLOOKUP($C7&amp;","&amp;X3,$C$34:$D$112,2,FALSE),"-1")</f>
        <v>-1</v>
      </c>
      <c r="Y7" s="27" t="str">
        <f>_xlfn.IFNA(VLOOKUP($C7&amp;","&amp;Y3,$C$34:$D$112,2,FALSE),"-1")</f>
        <v>-1</v>
      </c>
      <c r="Z7" s="27" t="str">
        <f>_xlfn.IFNA(VLOOKUP($C7&amp;","&amp;Z3,$C$34:$D$112,2,FALSE),"-1")</f>
        <v>-1</v>
      </c>
      <c r="AA7" s="27" t="str">
        <f>_xlfn.IFNA(VLOOKUP($C7&amp;","&amp;AA3,$C$34:$D$112,2,FALSE),"-1")</f>
        <v>-1</v>
      </c>
      <c r="AB7" s="50" t="str">
        <f>_xlfn.IFNA(VLOOKUP($C7&amp;","&amp;AB3,$C$34:$D$112,2,FALSE),"-1")</f>
        <v>-1</v>
      </c>
    </row>
    <row r="8" ht="20" customHeight="1" spans="1:28">
      <c r="A8" s="16">
        <v>2</v>
      </c>
      <c r="B8" s="15">
        <f t="shared" si="1"/>
        <v>4</v>
      </c>
      <c r="C8" s="19" t="s">
        <v>923</v>
      </c>
      <c r="D8" s="18" t="str">
        <f t="shared" si="2"/>
        <v>4</v>
      </c>
      <c r="E8" s="43" t="str">
        <f>_xlfn.IFNA(VLOOKUP($C8&amp;","&amp;E3,$C$34:$D$112,2,FALSE),"-1")</f>
        <v>36</v>
      </c>
      <c r="F8" s="27" t="str">
        <f>_xlfn.IFNA(VLOOKUP($C8&amp;","&amp;F3,$C$34:$D$112,2,FALSE),"-1")</f>
        <v>-1</v>
      </c>
      <c r="G8" s="27" t="str">
        <f>_xlfn.IFNA(VLOOKUP($C8&amp;","&amp;G3,$C$34:$D$112,2,FALSE),"-1")</f>
        <v>-1</v>
      </c>
      <c r="H8" s="27" t="str">
        <f>_xlfn.IFNA(VLOOKUP($C8&amp;","&amp;H3,$C$34:$D$112,2,FALSE),"-1")</f>
        <v>-1</v>
      </c>
      <c r="I8" s="27" t="str">
        <f>_xlfn.IFNA(VLOOKUP($C8&amp;","&amp;I3,$C$34:$D$112,2,FALSE),"-1")</f>
        <v>-1</v>
      </c>
      <c r="J8" s="27" t="str">
        <f>_xlfn.IFNA(VLOOKUP($C8&amp;","&amp;J3,$C$34:$D$112,2,FALSE),"-1")</f>
        <v>-1</v>
      </c>
      <c r="K8" s="27" t="str">
        <f>_xlfn.IFNA(VLOOKUP($C8&amp;","&amp;K3,$C$34:$D$112,2,FALSE),"-1")</f>
        <v>-1</v>
      </c>
      <c r="L8" s="27" t="str">
        <f>_xlfn.IFNA(VLOOKUP($C8&amp;","&amp;L3,$C$34:$D$112,2,FALSE),"-1")</f>
        <v>-1</v>
      </c>
      <c r="M8" s="27" t="str">
        <f>_xlfn.IFNA(VLOOKUP($C8&amp;","&amp;M3,$C$34:$D$112,2,FALSE),"-1")</f>
        <v>-1</v>
      </c>
      <c r="N8" s="27" t="str">
        <f>_xlfn.IFNA(VLOOKUP($C8&amp;","&amp;N3,$C$34:$D$112,2,FALSE),"-1")</f>
        <v>-1</v>
      </c>
      <c r="O8" s="27" t="str">
        <f>_xlfn.IFNA(VLOOKUP($C8&amp;","&amp;O3,$C$34:$D$112,2,FALSE),"-1")</f>
        <v>-1</v>
      </c>
      <c r="P8" s="27" t="str">
        <f>_xlfn.IFNA(VLOOKUP($C8&amp;","&amp;P3,$C$34:$D$112,2,FALSE),"-1")</f>
        <v>-1</v>
      </c>
      <c r="Q8" s="27" t="str">
        <f>_xlfn.IFNA(VLOOKUP($C8&amp;","&amp;Q3,$C$34:$D$112,2,FALSE),"-1")</f>
        <v>-1</v>
      </c>
      <c r="R8" s="27" t="str">
        <f>_xlfn.IFNA(VLOOKUP($C8&amp;","&amp;R3,$C$34:$D$112,2,FALSE),"-1")</f>
        <v>-1</v>
      </c>
      <c r="S8" s="27" t="str">
        <f>_xlfn.IFNA(VLOOKUP($C8&amp;","&amp;S3,$C$34:$D$112,2,FALSE),"-1")</f>
        <v>-1</v>
      </c>
      <c r="T8" s="27" t="str">
        <f>_xlfn.IFNA(VLOOKUP($C8&amp;","&amp;T3,$C$34:$D$112,2,FALSE),"-1")</f>
        <v>-1</v>
      </c>
      <c r="U8" s="27" t="str">
        <f>_xlfn.IFNA(VLOOKUP($C8&amp;","&amp;U3,$C$34:$D$112,2,FALSE),"-1")</f>
        <v>-1</v>
      </c>
      <c r="V8" s="27" t="str">
        <f>_xlfn.IFNA(VLOOKUP($C8&amp;","&amp;V3,$C$34:$D$112,2,FALSE),"-1")</f>
        <v>-1</v>
      </c>
      <c r="W8" s="27" t="str">
        <f>_xlfn.IFNA(VLOOKUP($C8&amp;","&amp;W3,$C$34:$D$112,2,FALSE),"-1")</f>
        <v>-1</v>
      </c>
      <c r="X8" s="27" t="str">
        <f>_xlfn.IFNA(VLOOKUP($C8&amp;","&amp;X3,$C$34:$D$112,2,FALSE),"-1")</f>
        <v>-1</v>
      </c>
      <c r="Y8" s="27" t="str">
        <f>_xlfn.IFNA(VLOOKUP($C8&amp;","&amp;Y3,$C$34:$D$112,2,FALSE),"-1")</f>
        <v>-1</v>
      </c>
      <c r="Z8" s="27" t="str">
        <f>_xlfn.IFNA(VLOOKUP($C8&amp;","&amp;Z3,$C$34:$D$112,2,FALSE),"-1")</f>
        <v>-1</v>
      </c>
      <c r="AA8" s="27" t="str">
        <f>_xlfn.IFNA(VLOOKUP($C8&amp;","&amp;AA3,$C$34:$D$112,2,FALSE),"-1")</f>
        <v>-1</v>
      </c>
      <c r="AB8" s="50" t="str">
        <f>_xlfn.IFNA(VLOOKUP($C8&amp;","&amp;AB3,$C$34:$D$112,2,FALSE),"-1")</f>
        <v>-1</v>
      </c>
    </row>
    <row r="9" ht="20" customHeight="1" spans="1:28">
      <c r="A9" s="16">
        <v>2</v>
      </c>
      <c r="B9" s="15">
        <f t="shared" si="1"/>
        <v>5</v>
      </c>
      <c r="C9" s="19" t="s">
        <v>924</v>
      </c>
      <c r="D9" s="18" t="str">
        <f t="shared" si="2"/>
        <v>5</v>
      </c>
      <c r="E9" s="43" t="str">
        <f>_xlfn.IFNA(VLOOKUP($C9&amp;","&amp;E3,$C$34:$D$112,2,FALSE),"-1")</f>
        <v>37</v>
      </c>
      <c r="F9" s="27" t="str">
        <f>_xlfn.IFNA(VLOOKUP($C9&amp;","&amp;F3,$C$34:$D$112,2,FALSE),"-1")</f>
        <v>-1</v>
      </c>
      <c r="G9" s="27" t="str">
        <f>_xlfn.IFNA(VLOOKUP($C9&amp;","&amp;G3,$C$34:$D$112,2,FALSE),"-1")</f>
        <v>-1</v>
      </c>
      <c r="H9" s="27" t="str">
        <f>_xlfn.IFNA(VLOOKUP($C9&amp;","&amp;H3,$C$34:$D$112,2,FALSE),"-1")</f>
        <v>-1</v>
      </c>
      <c r="I9" s="27" t="str">
        <f>_xlfn.IFNA(VLOOKUP($C9&amp;","&amp;I3,$C$34:$D$112,2,FALSE),"-1")</f>
        <v>-1</v>
      </c>
      <c r="J9" s="27" t="str">
        <f>_xlfn.IFNA(VLOOKUP($C9&amp;","&amp;J3,$C$34:$D$112,2,FALSE),"-1")</f>
        <v>-1</v>
      </c>
      <c r="K9" s="27" t="str">
        <f>_xlfn.IFNA(VLOOKUP($C9&amp;","&amp;K3,$C$34:$D$112,2,FALSE),"-1")</f>
        <v>-1</v>
      </c>
      <c r="L9" s="27" t="str">
        <f>_xlfn.IFNA(VLOOKUP($C9&amp;","&amp;L3,$C$34:$D$112,2,FALSE),"-1")</f>
        <v>-1</v>
      </c>
      <c r="M9" s="27" t="str">
        <f>_xlfn.IFNA(VLOOKUP($C9&amp;","&amp;M3,$C$34:$D$112,2,FALSE),"-1")</f>
        <v>-1</v>
      </c>
      <c r="N9" s="27" t="str">
        <f>_xlfn.IFNA(VLOOKUP($C9&amp;","&amp;N3,$C$34:$D$112,2,FALSE),"-1")</f>
        <v>-1</v>
      </c>
      <c r="O9" s="26" t="str">
        <f>_xlfn.IFNA(VLOOKUP($C9&amp;","&amp;O3,$C$34:$D$112,2,FALSE),"-1")</f>
        <v>39</v>
      </c>
      <c r="P9" s="27" t="str">
        <f>_xlfn.IFNA(VLOOKUP($C9&amp;","&amp;P3,$C$34:$D$112,2,FALSE),"-1")</f>
        <v>-1</v>
      </c>
      <c r="Q9" s="27" t="str">
        <f>_xlfn.IFNA(VLOOKUP($C9&amp;","&amp;Q3,$C$34:$D$112,2,FALSE),"-1")</f>
        <v>-1</v>
      </c>
      <c r="R9" s="27" t="str">
        <f>_xlfn.IFNA(VLOOKUP($C9&amp;","&amp;R3,$C$34:$D$112,2,FALSE),"-1")</f>
        <v>-1</v>
      </c>
      <c r="S9" s="27" t="str">
        <f>_xlfn.IFNA(VLOOKUP($C9&amp;","&amp;S3,$C$34:$D$112,2,FALSE),"-1")</f>
        <v>-1</v>
      </c>
      <c r="T9" s="27" t="str">
        <f>_xlfn.IFNA(VLOOKUP($C9&amp;","&amp;T3,$C$34:$D$112,2,FALSE),"-1")</f>
        <v>-1</v>
      </c>
      <c r="U9" s="27" t="str">
        <f>_xlfn.IFNA(VLOOKUP($C9&amp;","&amp;U3,$C$34:$D$112,2,FALSE),"-1")</f>
        <v>-1</v>
      </c>
      <c r="V9" s="27" t="str">
        <f>_xlfn.IFNA(VLOOKUP($C9&amp;","&amp;V3,$C$34:$D$112,2,FALSE),"-1")</f>
        <v>-1</v>
      </c>
      <c r="W9" s="27" t="str">
        <f>_xlfn.IFNA(VLOOKUP($C9&amp;","&amp;W3,$C$34:$D$112,2,FALSE),"-1")</f>
        <v>-1</v>
      </c>
      <c r="X9" s="27" t="str">
        <f>_xlfn.IFNA(VLOOKUP($C9&amp;","&amp;X3,$C$34:$D$112,2,FALSE),"-1")</f>
        <v>-1</v>
      </c>
      <c r="Y9" s="27" t="str">
        <f>_xlfn.IFNA(VLOOKUP($C9&amp;","&amp;Y3,$C$34:$D$112,2,FALSE),"-1")</f>
        <v>-1</v>
      </c>
      <c r="Z9" s="26" t="str">
        <f>_xlfn.IFNA(VLOOKUP($C9&amp;","&amp;Z3,$C$34:$D$112,2,FALSE),"-1")</f>
        <v>38</v>
      </c>
      <c r="AA9" s="27" t="str">
        <f>_xlfn.IFNA(VLOOKUP($C9&amp;","&amp;AA3,$C$34:$D$112,2,FALSE),"-1")</f>
        <v>-1</v>
      </c>
      <c r="AB9" s="50" t="str">
        <f>_xlfn.IFNA(VLOOKUP($C9&amp;","&amp;AB3,$C$34:$D$112,2,FALSE),"-1")</f>
        <v>-1</v>
      </c>
    </row>
    <row r="10" ht="20" customHeight="1" spans="1:28">
      <c r="A10" s="16">
        <v>2</v>
      </c>
      <c r="B10" s="15">
        <f t="shared" si="1"/>
        <v>6</v>
      </c>
      <c r="C10" s="19" t="s">
        <v>925</v>
      </c>
      <c r="D10" s="18" t="str">
        <f t="shared" si="2"/>
        <v>6</v>
      </c>
      <c r="E10" s="44" t="str">
        <f>_xlfn.IFNA(VLOOKUP($C10&amp;","&amp;E3,$C$34:$D$112,2,FALSE),"-1")</f>
        <v>-1</v>
      </c>
      <c r="F10" s="26" t="str">
        <f>_xlfn.IFNA(VLOOKUP($C10&amp;","&amp;F3,$C$34:$D$112,2,FALSE),"-1")</f>
        <v>3A</v>
      </c>
      <c r="G10" s="26" t="str">
        <f>_xlfn.IFNA(VLOOKUP($C10&amp;","&amp;G3,$C$34:$D$112,2,FALSE),"-1")</f>
        <v>3B</v>
      </c>
      <c r="H10" s="26" t="str">
        <f>_xlfn.IFNA(VLOOKUP($C10&amp;","&amp;H3,$C$34:$D$112,2,FALSE),"-1")</f>
        <v>3C</v>
      </c>
      <c r="I10" s="27" t="str">
        <f>_xlfn.IFNA(VLOOKUP($C10&amp;","&amp;I3,$C$34:$D$112,2,FALSE),"-1")</f>
        <v>3D</v>
      </c>
      <c r="J10" s="27" t="str">
        <f>_xlfn.IFNA(VLOOKUP($C10&amp;","&amp;J3,$C$34:$D$112,2,FALSE),"-1")</f>
        <v>3E</v>
      </c>
      <c r="K10" s="27" t="str">
        <f>_xlfn.IFNA(VLOOKUP($C10&amp;","&amp;K3,$C$34:$D$112,2,FALSE),"-1")</f>
        <v>3F</v>
      </c>
      <c r="L10" s="27" t="str">
        <f>_xlfn.IFNA(VLOOKUP($C10&amp;","&amp;L3,$C$34:$D$112,2,FALSE),"-1")</f>
        <v>40</v>
      </c>
      <c r="M10" s="27" t="str">
        <f>_xlfn.IFNA(VLOOKUP($C10&amp;","&amp;M3,$C$34:$D$112,2,FALSE),"-1")</f>
        <v>41</v>
      </c>
      <c r="N10" s="27" t="str">
        <f>_xlfn.IFNA(VLOOKUP($C10&amp;","&amp;N3,$C$34:$D$112,2,FALSE),"-1")</f>
        <v>-1</v>
      </c>
      <c r="O10" s="27" t="str">
        <f>_xlfn.IFNA(VLOOKUP($C10&amp;","&amp;O3,$C$34:$D$112,2,FALSE),"-1")</f>
        <v>-1</v>
      </c>
      <c r="P10" s="27" t="str">
        <f>_xlfn.IFNA(VLOOKUP($C10&amp;","&amp;P3,$C$34:$D$112,2,FALSE),"-1")</f>
        <v>-1</v>
      </c>
      <c r="Q10" s="27" t="str">
        <f>_xlfn.IFNA(VLOOKUP($C10&amp;","&amp;Q3,$C$34:$D$112,2,FALSE),"-1")</f>
        <v>-1</v>
      </c>
      <c r="R10" s="27" t="str">
        <f>_xlfn.IFNA(VLOOKUP($C10&amp;","&amp;R3,$C$34:$D$112,2,FALSE),"-1")</f>
        <v>-1</v>
      </c>
      <c r="S10" s="27" t="str">
        <f>_xlfn.IFNA(VLOOKUP($C10&amp;","&amp;S3,$C$34:$D$112,2,FALSE),"-1")</f>
        <v>-1</v>
      </c>
      <c r="T10" s="27" t="str">
        <f>_xlfn.IFNA(VLOOKUP($C10&amp;","&amp;T3,$C$34:$D$112,2,FALSE),"-1")</f>
        <v>-1</v>
      </c>
      <c r="U10" s="27" t="str">
        <f>_xlfn.IFNA(VLOOKUP($C10&amp;","&amp;U3,$C$34:$D$112,2,FALSE),"-1")</f>
        <v>-1</v>
      </c>
      <c r="V10" s="27" t="str">
        <f>_xlfn.IFNA(VLOOKUP($C10&amp;","&amp;V3,$C$34:$D$112,2,FALSE),"-1")</f>
        <v>-1</v>
      </c>
      <c r="W10" s="27" t="str">
        <f>_xlfn.IFNA(VLOOKUP($C10&amp;","&amp;W3,$C$34:$D$112,2,FALSE),"-1")</f>
        <v>-1</v>
      </c>
      <c r="X10" s="27" t="str">
        <f>_xlfn.IFNA(VLOOKUP($C10&amp;","&amp;X3,$C$34:$D$112,2,FALSE),"-1")</f>
        <v>-1</v>
      </c>
      <c r="Y10" s="27" t="str">
        <f>_xlfn.IFNA(VLOOKUP($C10&amp;","&amp;Y3,$C$34:$D$112,2,FALSE),"-1")</f>
        <v>-1</v>
      </c>
      <c r="Z10" s="27" t="str">
        <f>_xlfn.IFNA(VLOOKUP($C10&amp;","&amp;Z3,$C$34:$D$112,2,FALSE),"-1")</f>
        <v>-1</v>
      </c>
      <c r="AA10" s="27" t="str">
        <f>_xlfn.IFNA(VLOOKUP($C10&amp;","&amp;AA3,$C$34:$D$112,2,FALSE),"-1")</f>
        <v>-1</v>
      </c>
      <c r="AB10" s="50" t="str">
        <f>_xlfn.IFNA(VLOOKUP($C10&amp;","&amp;AB3,$C$34:$D$112,2,FALSE),"-1")</f>
        <v>-1</v>
      </c>
    </row>
    <row r="11" ht="20" customHeight="1" spans="1:28">
      <c r="A11" s="16">
        <v>2</v>
      </c>
      <c r="B11" s="15">
        <f t="shared" si="1"/>
        <v>7</v>
      </c>
      <c r="C11" s="19" t="s">
        <v>926</v>
      </c>
      <c r="D11" s="18" t="str">
        <f t="shared" si="2"/>
        <v>7</v>
      </c>
      <c r="E11" s="44" t="str">
        <f>_xlfn.IFNA(VLOOKUP($C11&amp;","&amp;E3,$C$34:$D$112,2,FALSE),"-1")</f>
        <v>-1</v>
      </c>
      <c r="F11" s="27" t="str">
        <f>_xlfn.IFNA(VLOOKUP($C11&amp;","&amp;F3,$C$34:$D$112,2,FALSE),"-1")</f>
        <v>-1</v>
      </c>
      <c r="G11" s="27" t="str">
        <f>_xlfn.IFNA(VLOOKUP($C11&amp;","&amp;G3,$C$34:$D$112,2,FALSE),"-1")</f>
        <v>-1</v>
      </c>
      <c r="H11" s="27" t="str">
        <f>_xlfn.IFNA(VLOOKUP($C11&amp;","&amp;H3,$C$34:$D$112,2,FALSE),"-1")</f>
        <v>-1</v>
      </c>
      <c r="I11" s="27" t="str">
        <f>_xlfn.IFNA(VLOOKUP($C11&amp;","&amp;I3,$C$34:$D$112,2,FALSE),"-1")</f>
        <v>-1</v>
      </c>
      <c r="J11" s="27" t="str">
        <f>_xlfn.IFNA(VLOOKUP($C11&amp;","&amp;J3,$C$34:$D$112,2,FALSE),"-1")</f>
        <v>-1</v>
      </c>
      <c r="K11" s="27" t="str">
        <f>_xlfn.IFNA(VLOOKUP($C11&amp;","&amp;K3,$C$34:$D$112,2,FALSE),"-1")</f>
        <v>-1</v>
      </c>
      <c r="L11" s="27" t="str">
        <f>_xlfn.IFNA(VLOOKUP($C11&amp;","&amp;L3,$C$34:$D$112,2,FALSE),"-1")</f>
        <v>-1</v>
      </c>
      <c r="M11" s="27" t="str">
        <f>_xlfn.IFNA(VLOOKUP($C11&amp;","&amp;M3,$C$34:$D$112,2,FALSE),"-1")</f>
        <v>-1</v>
      </c>
      <c r="N11" s="27" t="str">
        <f>_xlfn.IFNA(VLOOKUP($C11&amp;","&amp;N3,$C$34:$D$112,2,FALSE),"-1")</f>
        <v>-1</v>
      </c>
      <c r="O11" s="27" t="str">
        <f>_xlfn.IFNA(VLOOKUP($C11&amp;","&amp;O3,$C$34:$D$112,2,FALSE),"-1")</f>
        <v>-1</v>
      </c>
      <c r="P11" s="27" t="str">
        <f>_xlfn.IFNA(VLOOKUP($C11&amp;","&amp;P3,$C$34:$D$112,2,FALSE),"-1")</f>
        <v>-1</v>
      </c>
      <c r="Q11" s="27" t="str">
        <f>_xlfn.IFNA(VLOOKUP($C11&amp;","&amp;Q3,$C$34:$D$112,2,FALSE),"-1")</f>
        <v>-1</v>
      </c>
      <c r="R11" s="27" t="str">
        <f>_xlfn.IFNA(VLOOKUP($C11&amp;","&amp;R3,$C$34:$D$112,2,FALSE),"-1")</f>
        <v>-1</v>
      </c>
      <c r="S11" s="27" t="str">
        <f>_xlfn.IFNA(VLOOKUP($C11&amp;","&amp;S3,$C$34:$D$112,2,FALSE),"-1")</f>
        <v>-1</v>
      </c>
      <c r="T11" s="27" t="str">
        <f>_xlfn.IFNA(VLOOKUP($C11&amp;","&amp;T3,$C$34:$D$112,2,FALSE),"-1")</f>
        <v>-1</v>
      </c>
      <c r="U11" s="27" t="str">
        <f>_xlfn.IFNA(VLOOKUP($C11&amp;","&amp;U3,$C$34:$D$112,2,FALSE),"-1")</f>
        <v>-1</v>
      </c>
      <c r="V11" s="27" t="str">
        <f>_xlfn.IFNA(VLOOKUP($C11&amp;","&amp;V3,$C$34:$D$112,2,FALSE),"-1")</f>
        <v>-1</v>
      </c>
      <c r="W11" s="27" t="str">
        <f>_xlfn.IFNA(VLOOKUP($C11&amp;","&amp;W3,$C$34:$D$112,2,FALSE),"-1")</f>
        <v>-1</v>
      </c>
      <c r="X11" s="27" t="str">
        <f>_xlfn.IFNA(VLOOKUP($C11&amp;","&amp;X3,$C$34:$D$112,2,FALSE),"-1")</f>
        <v>-1</v>
      </c>
      <c r="Y11" s="27" t="str">
        <f>_xlfn.IFNA(VLOOKUP($C11&amp;","&amp;Y3,$C$34:$D$112,2,FALSE),"-1")</f>
        <v>42</v>
      </c>
      <c r="Z11" s="27" t="str">
        <f>_xlfn.IFNA(VLOOKUP($C11&amp;","&amp;Z3,$C$34:$D$112,2,FALSE),"-1")</f>
        <v>-1</v>
      </c>
      <c r="AA11" s="27" t="str">
        <f>_xlfn.IFNA(VLOOKUP($C11&amp;","&amp;AA3,$C$34:$D$112,2,FALSE),"-1")</f>
        <v>-1</v>
      </c>
      <c r="AB11" s="50" t="str">
        <f>_xlfn.IFNA(VLOOKUP($C11&amp;","&amp;AB3,$C$34:$D$112,2,FALSE),"-1")</f>
        <v>-1</v>
      </c>
    </row>
    <row r="12" ht="20" customHeight="1" spans="1:28">
      <c r="A12" s="16">
        <v>2</v>
      </c>
      <c r="B12" s="15">
        <f t="shared" si="1"/>
        <v>8</v>
      </c>
      <c r="C12" s="19" t="s">
        <v>927</v>
      </c>
      <c r="D12" s="18" t="str">
        <f t="shared" si="2"/>
        <v>8</v>
      </c>
      <c r="E12" s="44" t="str">
        <f>_xlfn.IFNA(VLOOKUP($C12&amp;","&amp;E3,$C$34:$D$112,2,FALSE),"-1")</f>
        <v>-1</v>
      </c>
      <c r="F12" s="27" t="str">
        <f>_xlfn.IFNA(VLOOKUP($C12&amp;","&amp;F3,$C$34:$D$112,2,FALSE),"-1")</f>
        <v>-1</v>
      </c>
      <c r="G12" s="27" t="str">
        <f>_xlfn.IFNA(VLOOKUP($C12&amp;","&amp;G3,$C$34:$D$112,2,FALSE),"-1")</f>
        <v>-1</v>
      </c>
      <c r="H12" s="27" t="str">
        <f>_xlfn.IFNA(VLOOKUP($C12&amp;","&amp;H3,$C$34:$D$112,2,FALSE),"-1")</f>
        <v>-1</v>
      </c>
      <c r="I12" s="27" t="str">
        <f>_xlfn.IFNA(VLOOKUP($C12&amp;","&amp;I3,$C$34:$D$112,2,FALSE),"-1")</f>
        <v>-1</v>
      </c>
      <c r="J12" s="27" t="str">
        <f>_xlfn.IFNA(VLOOKUP($C12&amp;","&amp;J3,$C$34:$D$112,2,FALSE),"-1")</f>
        <v>-1</v>
      </c>
      <c r="K12" s="27" t="str">
        <f>_xlfn.IFNA(VLOOKUP($C12&amp;","&amp;K3,$C$34:$D$112,2,FALSE),"-1")</f>
        <v>-1</v>
      </c>
      <c r="L12" s="27" t="str">
        <f>_xlfn.IFNA(VLOOKUP($C12&amp;","&amp;L3,$C$34:$D$112,2,FALSE),"-1")</f>
        <v>-1</v>
      </c>
      <c r="M12" s="27" t="str">
        <f>_xlfn.IFNA(VLOOKUP($C12&amp;","&amp;M3,$C$34:$D$112,2,FALSE),"-1")</f>
        <v>-1</v>
      </c>
      <c r="N12" s="27" t="str">
        <f>_xlfn.IFNA(VLOOKUP($C12&amp;","&amp;N3,$C$34:$D$112,2,FALSE),"-1")</f>
        <v>-1</v>
      </c>
      <c r="O12" s="27" t="str">
        <f>_xlfn.IFNA(VLOOKUP($C12&amp;","&amp;O3,$C$34:$D$112,2,FALSE),"-1")</f>
        <v>-1</v>
      </c>
      <c r="P12" s="27" t="str">
        <f>_xlfn.IFNA(VLOOKUP($C12&amp;","&amp;P3,$C$34:$D$112,2,FALSE),"-1")</f>
        <v>-1</v>
      </c>
      <c r="Q12" s="27" t="str">
        <f>_xlfn.IFNA(VLOOKUP($C12&amp;","&amp;Q3,$C$34:$D$112,2,FALSE),"-1")</f>
        <v>-1</v>
      </c>
      <c r="R12" s="27" t="str">
        <f>_xlfn.IFNA(VLOOKUP($C12&amp;","&amp;R3,$C$34:$D$112,2,FALSE),"-1")</f>
        <v>-1</v>
      </c>
      <c r="S12" s="27" t="str">
        <f>_xlfn.IFNA(VLOOKUP($C12&amp;","&amp;S3,$C$34:$D$112,2,FALSE),"-1")</f>
        <v>-1</v>
      </c>
      <c r="T12" s="27" t="str">
        <f>_xlfn.IFNA(VLOOKUP($C12&amp;","&amp;T3,$C$34:$D$112,2,FALSE),"-1")</f>
        <v>-1</v>
      </c>
      <c r="U12" s="27" t="str">
        <f>_xlfn.IFNA(VLOOKUP($C12&amp;","&amp;U3,$C$34:$D$112,2,FALSE),"-1")</f>
        <v>-1</v>
      </c>
      <c r="V12" s="27" t="str">
        <f>_xlfn.IFNA(VLOOKUP($C12&amp;","&amp;V3,$C$34:$D$112,2,FALSE),"-1")</f>
        <v>-1</v>
      </c>
      <c r="W12" s="27" t="str">
        <f>_xlfn.IFNA(VLOOKUP($C12&amp;","&amp;W3,$C$34:$D$112,2,FALSE),"-1")</f>
        <v>-1</v>
      </c>
      <c r="X12" s="27" t="str">
        <f>_xlfn.IFNA(VLOOKUP($C12&amp;","&amp;X3,$C$34:$D$112,2,FALSE),"-1")</f>
        <v>-1</v>
      </c>
      <c r="Y12" s="27" t="str">
        <f>_xlfn.IFNA(VLOOKUP($C12&amp;","&amp;Y3,$C$34:$D$112,2,FALSE),"-1")</f>
        <v>43</v>
      </c>
      <c r="Z12" s="27" t="str">
        <f>_xlfn.IFNA(VLOOKUP($C12&amp;","&amp;Z3,$C$34:$D$112,2,FALSE),"-1")</f>
        <v>-1</v>
      </c>
      <c r="AA12" s="27" t="str">
        <f>_xlfn.IFNA(VLOOKUP($C12&amp;","&amp;AA3,$C$34:$D$112,2,FALSE),"-1")</f>
        <v>-1</v>
      </c>
      <c r="AB12" s="50" t="str">
        <f>_xlfn.IFNA(VLOOKUP($C12&amp;","&amp;AB3,$C$34:$D$112,2,FALSE),"-1")</f>
        <v>-1</v>
      </c>
    </row>
    <row r="13" ht="20" customHeight="1" spans="1:28">
      <c r="A13" s="16">
        <v>2</v>
      </c>
      <c r="B13" s="15">
        <f t="shared" si="1"/>
        <v>9</v>
      </c>
      <c r="C13" s="19" t="s">
        <v>928</v>
      </c>
      <c r="D13" s="18" t="str">
        <f t="shared" si="2"/>
        <v>9</v>
      </c>
      <c r="E13" s="44" t="str">
        <f>_xlfn.IFNA(VLOOKUP($C13&amp;","&amp;E3,$C$34:$D$112,2,FALSE),"-1")</f>
        <v>-1</v>
      </c>
      <c r="F13" s="27" t="str">
        <f>_xlfn.IFNA(VLOOKUP($C13&amp;","&amp;F3,$C$34:$D$112,2,FALSE),"-1")</f>
        <v>-1</v>
      </c>
      <c r="G13" s="27" t="str">
        <f>_xlfn.IFNA(VLOOKUP($C13&amp;","&amp;G3,$C$34:$D$112,2,FALSE),"-1")</f>
        <v>-1</v>
      </c>
      <c r="H13" s="27" t="str">
        <f>_xlfn.IFNA(VLOOKUP($C13&amp;","&amp;H3,$C$34:$D$112,2,FALSE),"-1")</f>
        <v>-1</v>
      </c>
      <c r="I13" s="27" t="str">
        <f>_xlfn.IFNA(VLOOKUP($C13&amp;","&amp;I3,$C$34:$D$112,2,FALSE),"-1")</f>
        <v>-1</v>
      </c>
      <c r="J13" s="27" t="str">
        <f>_xlfn.IFNA(VLOOKUP($C13&amp;","&amp;J3,$C$34:$D$112,2,FALSE),"-1")</f>
        <v>-1</v>
      </c>
      <c r="K13" s="27" t="str">
        <f>_xlfn.IFNA(VLOOKUP($C13&amp;","&amp;K3,$C$34:$D$112,2,FALSE),"-1")</f>
        <v>-1</v>
      </c>
      <c r="L13" s="27" t="str">
        <f>_xlfn.IFNA(VLOOKUP($C13&amp;","&amp;L3,$C$34:$D$112,2,FALSE),"-1")</f>
        <v>-1</v>
      </c>
      <c r="M13" s="27" t="str">
        <f>_xlfn.IFNA(VLOOKUP($C13&amp;","&amp;M3,$C$34:$D$112,2,FALSE),"-1")</f>
        <v>-1</v>
      </c>
      <c r="N13" s="27" t="str">
        <f>_xlfn.IFNA(VLOOKUP($C13&amp;","&amp;N3,$C$34:$D$112,2,FALSE),"-1")</f>
        <v>-1</v>
      </c>
      <c r="O13" s="27" t="str">
        <f>_xlfn.IFNA(VLOOKUP($C13&amp;","&amp;O3,$C$34:$D$112,2,FALSE),"-1")</f>
        <v>-1</v>
      </c>
      <c r="P13" s="27" t="str">
        <f>_xlfn.IFNA(VLOOKUP($C13&amp;","&amp;P3,$C$34:$D$112,2,FALSE),"-1")</f>
        <v>-1</v>
      </c>
      <c r="Q13" s="27" t="str">
        <f>_xlfn.IFNA(VLOOKUP($C13&amp;","&amp;Q3,$C$34:$D$112,2,FALSE),"-1")</f>
        <v>-1</v>
      </c>
      <c r="R13" s="27" t="str">
        <f>_xlfn.IFNA(VLOOKUP($C13&amp;","&amp;R3,$C$34:$D$112,2,FALSE),"-1")</f>
        <v>-1</v>
      </c>
      <c r="S13" s="27" t="str">
        <f>_xlfn.IFNA(VLOOKUP($C13&amp;","&amp;S3,$C$34:$D$112,2,FALSE),"-1")</f>
        <v>-1</v>
      </c>
      <c r="T13" s="27" t="str">
        <f>_xlfn.IFNA(VLOOKUP($C13&amp;","&amp;T3,$C$34:$D$112,2,FALSE),"-1")</f>
        <v>-1</v>
      </c>
      <c r="U13" s="27" t="str">
        <f>_xlfn.IFNA(VLOOKUP($C13&amp;","&amp;U3,$C$34:$D$112,2,FALSE),"-1")</f>
        <v>-1</v>
      </c>
      <c r="V13" s="27" t="str">
        <f>_xlfn.IFNA(VLOOKUP($C13&amp;","&amp;V3,$C$34:$D$112,2,FALSE),"-1")</f>
        <v>-1</v>
      </c>
      <c r="W13" s="27" t="str">
        <f>_xlfn.IFNA(VLOOKUP($C13&amp;","&amp;W3,$C$34:$D$112,2,FALSE),"-1")</f>
        <v>-1</v>
      </c>
      <c r="X13" s="27" t="str">
        <f>_xlfn.IFNA(VLOOKUP($C13&amp;","&amp;X3,$C$34:$D$112,2,FALSE),"-1")</f>
        <v>-1</v>
      </c>
      <c r="Y13" s="27" t="str">
        <f>_xlfn.IFNA(VLOOKUP($C13&amp;","&amp;Y3,$C$34:$D$112,2,FALSE),"-1")</f>
        <v>44</v>
      </c>
      <c r="Z13" s="27" t="str">
        <f>_xlfn.IFNA(VLOOKUP($C13&amp;","&amp;Z3,$C$34:$D$112,2,FALSE),"-1")</f>
        <v>-1</v>
      </c>
      <c r="AA13" s="27" t="str">
        <f>_xlfn.IFNA(VLOOKUP($C13&amp;","&amp;AA3,$C$34:$D$112,2,FALSE),"-1")</f>
        <v>-1</v>
      </c>
      <c r="AB13" s="50" t="str">
        <f>_xlfn.IFNA(VLOOKUP($C13&amp;","&amp;AB3,$C$34:$D$112,2,FALSE),"-1")</f>
        <v>-1</v>
      </c>
    </row>
    <row r="14" ht="20" customHeight="1" spans="1:28">
      <c r="A14" s="16">
        <v>2</v>
      </c>
      <c r="B14" s="15">
        <f t="shared" si="1"/>
        <v>10</v>
      </c>
      <c r="C14" s="19" t="s">
        <v>929</v>
      </c>
      <c r="D14" s="18" t="str">
        <f t="shared" si="2"/>
        <v>A</v>
      </c>
      <c r="E14" s="44" t="str">
        <f>_xlfn.IFNA(VLOOKUP($C14&amp;","&amp;E3,$C$34:$D$112,2,FALSE),"-1")</f>
        <v>47</v>
      </c>
      <c r="F14" s="27" t="str">
        <f>_xlfn.IFNA(VLOOKUP($C14&amp;","&amp;F3,$C$34:$D$112,2,FALSE),"-1")</f>
        <v>4C</v>
      </c>
      <c r="G14" s="27" t="str">
        <f>_xlfn.IFNA(VLOOKUP($C14&amp;","&amp;G3,$C$34:$D$112,2,FALSE),"-1")</f>
        <v>4D</v>
      </c>
      <c r="H14" s="27" t="str">
        <f>_xlfn.IFNA(VLOOKUP($C14&amp;","&amp;H3,$C$34:$D$112,2,FALSE),"-1")</f>
        <v>4E</v>
      </c>
      <c r="I14" s="27" t="str">
        <f>_xlfn.IFNA(VLOOKUP($C14&amp;","&amp;I3,$C$34:$D$112,2,FALSE),"-1")</f>
        <v>4F</v>
      </c>
      <c r="J14" s="27" t="str">
        <f>_xlfn.IFNA(VLOOKUP($C14&amp;","&amp;J3,$C$34:$D$112,2,FALSE),"-1")</f>
        <v>50</v>
      </c>
      <c r="K14" s="27" t="str">
        <f>_xlfn.IFNA(VLOOKUP($C14&amp;","&amp;K3,$C$34:$D$112,2,FALSE),"-1")</f>
        <v>51</v>
      </c>
      <c r="L14" s="27" t="str">
        <f>_xlfn.IFNA(VLOOKUP($C14&amp;","&amp;L3,$C$34:$D$112,2,FALSE),"-1")</f>
        <v>52</v>
      </c>
      <c r="M14" s="27" t="str">
        <f>_xlfn.IFNA(VLOOKUP($C14&amp;","&amp;M3,$C$34:$D$112,2,FALSE),"-1")</f>
        <v>53</v>
      </c>
      <c r="N14" s="27" t="str">
        <f>_xlfn.IFNA(VLOOKUP($C14&amp;","&amp;N3,$C$34:$D$112,2,FALSE),"-1")</f>
        <v>-1</v>
      </c>
      <c r="O14" s="27" t="str">
        <f>_xlfn.IFNA(VLOOKUP($C14&amp;","&amp;O3,$C$34:$D$112,2,FALSE),"-1")</f>
        <v>4A</v>
      </c>
      <c r="P14" s="27" t="str">
        <f>_xlfn.IFNA(VLOOKUP($C14&amp;","&amp;P3,$C$34:$D$112,2,FALSE),"-1")</f>
        <v>45</v>
      </c>
      <c r="Q14" s="27" t="str">
        <f>_xlfn.IFNA(VLOOKUP($C14&amp;","&amp;Q3,$C$34:$D$112,2,FALSE),"-1")</f>
        <v>46</v>
      </c>
      <c r="R14" s="27" t="str">
        <f>_xlfn.IFNA(VLOOKUP($C14&amp;","&amp;R3,$C$34:$D$112,2,FALSE),"-1")</f>
        <v>4B</v>
      </c>
      <c r="S14" s="27" t="str">
        <f>_xlfn.IFNA(VLOOKUP($C14&amp;","&amp;S3,$C$34:$D$112,2,FALSE),"-1")</f>
        <v>-1</v>
      </c>
      <c r="T14" s="27" t="str">
        <f>_xlfn.IFNA(VLOOKUP($C14&amp;","&amp;T3,$C$34:$D$112,2,FALSE),"-1")</f>
        <v>-1</v>
      </c>
      <c r="U14" s="27" t="str">
        <f>_xlfn.IFNA(VLOOKUP($C14&amp;","&amp;U3,$C$34:$D$112,2,FALSE),"-1")</f>
        <v>-1</v>
      </c>
      <c r="V14" s="27" t="str">
        <f>_xlfn.IFNA(VLOOKUP($C14&amp;","&amp;V3,$C$34:$D$112,2,FALSE),"-1")</f>
        <v>-1</v>
      </c>
      <c r="W14" s="27" t="str">
        <f>_xlfn.IFNA(VLOOKUP($C14&amp;","&amp;W3,$C$34:$D$112,2,FALSE),"-1")</f>
        <v>-1</v>
      </c>
      <c r="X14" s="27" t="str">
        <f>_xlfn.IFNA(VLOOKUP($C14&amp;","&amp;X3,$C$34:$D$112,2,FALSE),"-1")</f>
        <v>-1</v>
      </c>
      <c r="Y14" s="27" t="str">
        <f>_xlfn.IFNA(VLOOKUP($C14&amp;","&amp;Y3,$C$34:$D$112,2,FALSE),"-1")</f>
        <v>48</v>
      </c>
      <c r="Z14" s="27" t="str">
        <f>_xlfn.IFNA(VLOOKUP($C14&amp;","&amp;Z3,$C$34:$D$112,2,FALSE),"-1")</f>
        <v>49</v>
      </c>
      <c r="AA14" s="27" t="str">
        <f>_xlfn.IFNA(VLOOKUP($C14&amp;","&amp;AA3,$C$34:$D$112,2,FALSE),"-1")</f>
        <v>-1</v>
      </c>
      <c r="AB14" s="50" t="str">
        <f>_xlfn.IFNA(VLOOKUP($C14&amp;","&amp;AB3,$C$34:$D$112,2,FALSE),"-1")</f>
        <v>-1</v>
      </c>
    </row>
    <row r="15" ht="20" customHeight="1" spans="1:28">
      <c r="A15" s="16">
        <v>2</v>
      </c>
      <c r="B15" s="15">
        <f t="shared" si="1"/>
        <v>11</v>
      </c>
      <c r="C15" s="19" t="s">
        <v>930</v>
      </c>
      <c r="D15" s="18" t="str">
        <f t="shared" si="2"/>
        <v>B</v>
      </c>
      <c r="E15" s="44" t="str">
        <f>_xlfn.IFNA(VLOOKUP($C15&amp;","&amp;E3,$C$34:$D$112,2,FALSE),"-1")</f>
        <v>54</v>
      </c>
      <c r="F15" s="27" t="str">
        <f>_xlfn.IFNA(VLOOKUP($C15&amp;","&amp;F3,$C$34:$D$112,2,FALSE),"-1")</f>
        <v>-1</v>
      </c>
      <c r="G15" s="27" t="str">
        <f>_xlfn.IFNA(VLOOKUP($C15&amp;","&amp;G3,$C$34:$D$112,2,FALSE),"-1")</f>
        <v>-1</v>
      </c>
      <c r="H15" s="27" t="str">
        <f>_xlfn.IFNA(VLOOKUP($C15&amp;","&amp;H3,$C$34:$D$112,2,FALSE),"-1")</f>
        <v>-1</v>
      </c>
      <c r="I15" s="27" t="str">
        <f>_xlfn.IFNA(VLOOKUP($C15&amp;","&amp;I3,$C$34:$D$112,2,FALSE),"-1")</f>
        <v>-1</v>
      </c>
      <c r="J15" s="27" t="str">
        <f>_xlfn.IFNA(VLOOKUP($C15&amp;","&amp;J3,$C$34:$D$112,2,FALSE),"-1")</f>
        <v>-1</v>
      </c>
      <c r="K15" s="27" t="str">
        <f>_xlfn.IFNA(VLOOKUP($C15&amp;","&amp;K3,$C$34:$D$112,2,FALSE),"-1")</f>
        <v>-1</v>
      </c>
      <c r="L15" s="27" t="str">
        <f>_xlfn.IFNA(VLOOKUP($C15&amp;","&amp;L3,$C$34:$D$112,2,FALSE),"-1")</f>
        <v>-1</v>
      </c>
      <c r="M15" s="27" t="str">
        <f>_xlfn.IFNA(VLOOKUP($C15&amp;","&amp;M3,$C$34:$D$112,2,FALSE),"-1")</f>
        <v>-1</v>
      </c>
      <c r="N15" s="27" t="str">
        <f>_xlfn.IFNA(VLOOKUP($C15&amp;","&amp;N3,$C$34:$D$112,2,FALSE),"-1")</f>
        <v>-1</v>
      </c>
      <c r="O15" s="27" t="str">
        <f>_xlfn.IFNA(VLOOKUP($C15&amp;","&amp;O3,$C$34:$D$112,2,FALSE),"-1")</f>
        <v>-1</v>
      </c>
      <c r="P15" s="27" t="str">
        <f>_xlfn.IFNA(VLOOKUP($C15&amp;","&amp;P3,$C$34:$D$112,2,FALSE),"-1")</f>
        <v>-1</v>
      </c>
      <c r="Q15" s="27" t="str">
        <f>_xlfn.IFNA(VLOOKUP($C15&amp;","&amp;Q3,$C$34:$D$112,2,FALSE),"-1")</f>
        <v>-1</v>
      </c>
      <c r="R15" s="27" t="str">
        <f>_xlfn.IFNA(VLOOKUP($C15&amp;","&amp;R3,$C$34:$D$112,2,FALSE),"-1")</f>
        <v>-1</v>
      </c>
      <c r="S15" s="27" t="str">
        <f>_xlfn.IFNA(VLOOKUP($C15&amp;","&amp;S3,$C$34:$D$112,2,FALSE),"-1")</f>
        <v>-1</v>
      </c>
      <c r="T15" s="27" t="str">
        <f>_xlfn.IFNA(VLOOKUP($C15&amp;","&amp;T3,$C$34:$D$112,2,FALSE),"-1")</f>
        <v>-1</v>
      </c>
      <c r="U15" s="27" t="str">
        <f>_xlfn.IFNA(VLOOKUP($C15&amp;","&amp;U3,$C$34:$D$112,2,FALSE),"-1")</f>
        <v>-1</v>
      </c>
      <c r="V15" s="27" t="str">
        <f>_xlfn.IFNA(VLOOKUP($C15&amp;","&amp;V3,$C$34:$D$112,2,FALSE),"-1")</f>
        <v>-1</v>
      </c>
      <c r="W15" s="27" t="str">
        <f>_xlfn.IFNA(VLOOKUP($C15&amp;","&amp;W3,$C$34:$D$112,2,FALSE),"-1")</f>
        <v>-1</v>
      </c>
      <c r="X15" s="27" t="str">
        <f>_xlfn.IFNA(VLOOKUP($C15&amp;","&amp;X3,$C$34:$D$112,2,FALSE),"-1")</f>
        <v>-1</v>
      </c>
      <c r="Y15" s="27" t="str">
        <f>_xlfn.IFNA(VLOOKUP($C15&amp;","&amp;Y3,$C$34:$D$112,2,FALSE),"-1")</f>
        <v>-1</v>
      </c>
      <c r="Z15" s="27" t="str">
        <f>_xlfn.IFNA(VLOOKUP($C15&amp;","&amp;Z3,$C$34:$D$112,2,FALSE),"-1")</f>
        <v>-1</v>
      </c>
      <c r="AA15" s="27" t="str">
        <f>_xlfn.IFNA(VLOOKUP($C15&amp;","&amp;AA3,$C$34:$D$112,2,FALSE),"-1")</f>
        <v>-1</v>
      </c>
      <c r="AB15" s="50" t="str">
        <f>_xlfn.IFNA(VLOOKUP($C15&amp;","&amp;AB3,$C$34:$D$112,2,FALSE),"-1")</f>
        <v>-1</v>
      </c>
    </row>
    <row r="16" ht="20" customHeight="1" spans="1:28">
      <c r="A16" s="16">
        <v>2</v>
      </c>
      <c r="B16" s="15">
        <f t="shared" si="1"/>
        <v>12</v>
      </c>
      <c r="C16" s="19" t="s">
        <v>931</v>
      </c>
      <c r="D16" s="18" t="str">
        <f t="shared" si="2"/>
        <v>C</v>
      </c>
      <c r="E16" s="44" t="str">
        <f>_xlfn.IFNA(VLOOKUP($C16&amp;","&amp;E3,$C$34:$D$112,2,FALSE),"-1")</f>
        <v>58</v>
      </c>
      <c r="F16" s="27" t="str">
        <f>_xlfn.IFNA(VLOOKUP($C16&amp;","&amp;F3,$C$34:$D$112,2,FALSE),"-1")</f>
        <v>-1</v>
      </c>
      <c r="G16" s="27" t="str">
        <f>_xlfn.IFNA(VLOOKUP($C16&amp;","&amp;G3,$C$34:$D$112,2,FALSE),"-1")</f>
        <v>-1</v>
      </c>
      <c r="H16" s="27" t="str">
        <f>_xlfn.IFNA(VLOOKUP($C16&amp;","&amp;H3,$C$34:$D$112,2,FALSE),"-1")</f>
        <v>-1</v>
      </c>
      <c r="I16" s="27" t="str">
        <f>_xlfn.IFNA(VLOOKUP($C16&amp;","&amp;I3,$C$34:$D$112,2,FALSE),"-1")</f>
        <v>-1</v>
      </c>
      <c r="J16" s="27" t="str">
        <f>_xlfn.IFNA(VLOOKUP($C16&amp;","&amp;J3,$C$34:$D$112,2,FALSE),"-1")</f>
        <v>-1</v>
      </c>
      <c r="K16" s="27" t="str">
        <f>_xlfn.IFNA(VLOOKUP($C16&amp;","&amp;K3,$C$34:$D$112,2,FALSE),"-1")</f>
        <v>-1</v>
      </c>
      <c r="L16" s="27" t="str">
        <f>_xlfn.IFNA(VLOOKUP($C16&amp;","&amp;L3,$C$34:$D$112,2,FALSE),"-1")</f>
        <v>-1</v>
      </c>
      <c r="M16" s="27" t="str">
        <f>_xlfn.IFNA(VLOOKUP($C16&amp;","&amp;M3,$C$34:$D$112,2,FALSE),"-1")</f>
        <v>-1</v>
      </c>
      <c r="N16" s="27" t="str">
        <f>_xlfn.IFNA(VLOOKUP($C16&amp;","&amp;N3,$C$34:$D$112,2,FALSE),"-1")</f>
        <v>-1</v>
      </c>
      <c r="O16" s="27" t="str">
        <f>_xlfn.IFNA(VLOOKUP($C16&amp;","&amp;O3,$C$34:$D$112,2,FALSE),"-1")</f>
        <v>-1</v>
      </c>
      <c r="P16" s="27" t="str">
        <f>_xlfn.IFNA(VLOOKUP($C16&amp;","&amp;P3,$C$34:$D$112,2,FALSE),"-1")</f>
        <v>56</v>
      </c>
      <c r="Q16" s="27" t="str">
        <f>_xlfn.IFNA(VLOOKUP($C16&amp;","&amp;Q3,$C$34:$D$112,2,FALSE),"-1")</f>
        <v>57</v>
      </c>
      <c r="R16" s="27" t="str">
        <f>_xlfn.IFNA(VLOOKUP($C16&amp;","&amp;R3,$C$34:$D$112,2,FALSE),"-1")</f>
        <v>-1</v>
      </c>
      <c r="S16" s="27" t="str">
        <f>_xlfn.IFNA(VLOOKUP($C16&amp;","&amp;S3,$C$34:$D$112,2,FALSE),"-1")</f>
        <v>-1</v>
      </c>
      <c r="T16" s="27" t="str">
        <f>_xlfn.IFNA(VLOOKUP($C16&amp;","&amp;T3,$C$34:$D$112,2,FALSE),"-1")</f>
        <v>-1</v>
      </c>
      <c r="U16" s="27" t="str">
        <f>_xlfn.IFNA(VLOOKUP($C16&amp;","&amp;U3,$C$34:$D$112,2,FALSE),"-1")</f>
        <v>-1</v>
      </c>
      <c r="V16" s="27" t="str">
        <f>_xlfn.IFNA(VLOOKUP($C16&amp;","&amp;V3,$C$34:$D$112,2,FALSE),"-1")</f>
        <v>55</v>
      </c>
      <c r="W16" s="27" t="str">
        <f>_xlfn.IFNA(VLOOKUP($C16&amp;","&amp;W3,$C$34:$D$112,2,FALSE),"-1")</f>
        <v>-1</v>
      </c>
      <c r="X16" s="27" t="str">
        <f>_xlfn.IFNA(VLOOKUP($C16&amp;","&amp;X3,$C$34:$D$112,2,FALSE),"-1")</f>
        <v>-1</v>
      </c>
      <c r="Y16" s="27" t="str">
        <f>_xlfn.IFNA(VLOOKUP($C16&amp;","&amp;Y3,$C$34:$D$112,2,FALSE),"-1")</f>
        <v>-1</v>
      </c>
      <c r="Z16" s="27" t="str">
        <f>_xlfn.IFNA(VLOOKUP($C16&amp;","&amp;Z3,$C$34:$D$112,2,FALSE),"-1")</f>
        <v>-1</v>
      </c>
      <c r="AA16" s="27" t="str">
        <f>_xlfn.IFNA(VLOOKUP($C16&amp;","&amp;AA3,$C$34:$D$112,2,FALSE),"-1")</f>
        <v>-1</v>
      </c>
      <c r="AB16" s="50" t="str">
        <f>_xlfn.IFNA(VLOOKUP($C16&amp;","&amp;AB3,$C$34:$D$112,2,FALSE),"-1")</f>
        <v>-1</v>
      </c>
    </row>
    <row r="17" ht="20" customHeight="1" spans="1:28">
      <c r="A17" s="16">
        <v>2</v>
      </c>
      <c r="B17" s="15">
        <f t="shared" si="1"/>
        <v>13</v>
      </c>
      <c r="C17" s="19" t="s">
        <v>932</v>
      </c>
      <c r="D17" s="18" t="str">
        <f t="shared" si="2"/>
        <v>D</v>
      </c>
      <c r="E17" s="44" t="str">
        <f>_xlfn.IFNA(VLOOKUP($C17&amp;","&amp;E3,$C$34:$D$112,2,FALSE),"-1")</f>
        <v>59</v>
      </c>
      <c r="F17" s="27" t="str">
        <f>_xlfn.IFNA(VLOOKUP($C17&amp;","&amp;F3,$C$34:$D$112,2,FALSE),"-1")</f>
        <v>-1</v>
      </c>
      <c r="G17" s="27" t="str">
        <f>_xlfn.IFNA(VLOOKUP($C17&amp;","&amp;G3,$C$34:$D$112,2,FALSE),"-1")</f>
        <v>-1</v>
      </c>
      <c r="H17" s="27" t="str">
        <f>_xlfn.IFNA(VLOOKUP($C17&amp;","&amp;H3,$C$34:$D$112,2,FALSE),"-1")</f>
        <v>-1</v>
      </c>
      <c r="I17" s="27" t="str">
        <f>_xlfn.IFNA(VLOOKUP($C17&amp;","&amp;I3,$C$34:$D$112,2,FALSE),"-1")</f>
        <v>-1</v>
      </c>
      <c r="J17" s="27" t="str">
        <f>_xlfn.IFNA(VLOOKUP($C17&amp;","&amp;J3,$C$34:$D$112,2,FALSE),"-1")</f>
        <v>-1</v>
      </c>
      <c r="K17" s="27" t="str">
        <f>_xlfn.IFNA(VLOOKUP($C17&amp;","&amp;K3,$C$34:$D$112,2,FALSE),"-1")</f>
        <v>-1</v>
      </c>
      <c r="L17" s="27" t="str">
        <f>_xlfn.IFNA(VLOOKUP($C17&amp;","&amp;L3,$C$34:$D$112,2,FALSE),"-1")</f>
        <v>-1</v>
      </c>
      <c r="M17" s="27" t="str">
        <f>_xlfn.IFNA(VLOOKUP($C17&amp;","&amp;M3,$C$34:$D$112,2,FALSE),"-1")</f>
        <v>-1</v>
      </c>
      <c r="N17" s="27" t="str">
        <f>_xlfn.IFNA(VLOOKUP($C17&amp;","&amp;N3,$C$34:$D$112,2,FALSE),"-1")</f>
        <v>-1</v>
      </c>
      <c r="O17" s="27" t="str">
        <f>_xlfn.IFNA(VLOOKUP($C17&amp;","&amp;O3,$C$34:$D$112,2,FALSE),"-1")</f>
        <v>5B</v>
      </c>
      <c r="P17" s="27" t="str">
        <f>_xlfn.IFNA(VLOOKUP($C17&amp;","&amp;P3,$C$34:$D$112,2,FALSE),"-1")</f>
        <v>-1</v>
      </c>
      <c r="Q17" s="27" t="str">
        <f>_xlfn.IFNA(VLOOKUP($C17&amp;","&amp;Q3,$C$34:$D$112,2,FALSE),"-1")</f>
        <v>-1</v>
      </c>
      <c r="R17" s="27" t="str">
        <f>_xlfn.IFNA(VLOOKUP($C17&amp;","&amp;R3,$C$34:$D$112,2,FALSE),"-1")</f>
        <v>-1</v>
      </c>
      <c r="S17" s="27" t="str">
        <f>_xlfn.IFNA(VLOOKUP($C17&amp;","&amp;S3,$C$34:$D$112,2,FALSE),"-1")</f>
        <v>-1</v>
      </c>
      <c r="T17" s="27" t="str">
        <f>_xlfn.IFNA(VLOOKUP($C17&amp;","&amp;T3,$C$34:$D$112,2,FALSE),"-1")</f>
        <v>-1</v>
      </c>
      <c r="U17" s="27" t="str">
        <f>_xlfn.IFNA(VLOOKUP($C17&amp;","&amp;U3,$C$34:$D$112,2,FALSE),"-1")</f>
        <v>-1</v>
      </c>
      <c r="V17" s="27" t="str">
        <f>_xlfn.IFNA(VLOOKUP($C17&amp;","&amp;V3,$C$34:$D$112,2,FALSE),"-1")</f>
        <v>-1</v>
      </c>
      <c r="W17" s="27" t="str">
        <f>_xlfn.IFNA(VLOOKUP($C17&amp;","&amp;W3,$C$34:$D$112,2,FALSE),"-1")</f>
        <v>-1</v>
      </c>
      <c r="X17" s="27" t="str">
        <f>_xlfn.IFNA(VLOOKUP($C17&amp;","&amp;X3,$C$34:$D$112,2,FALSE),"-1")</f>
        <v>-1</v>
      </c>
      <c r="Y17" s="27" t="str">
        <f>_xlfn.IFNA(VLOOKUP($C17&amp;","&amp;Y3,$C$34:$D$112,2,FALSE),"-1")</f>
        <v>-1</v>
      </c>
      <c r="Z17" s="27" t="str">
        <f>_xlfn.IFNA(VLOOKUP($C17&amp;","&amp;Z3,$C$34:$D$112,2,FALSE),"-1")</f>
        <v>5A</v>
      </c>
      <c r="AA17" s="27" t="str">
        <f>_xlfn.IFNA(VLOOKUP($C17&amp;","&amp;AA3,$C$34:$D$112,2,FALSE),"-1")</f>
        <v>-1</v>
      </c>
      <c r="AB17" s="50" t="str">
        <f>_xlfn.IFNA(VLOOKUP($C17&amp;","&amp;AB3,$C$34:$D$112,2,FALSE),"-1")</f>
        <v>-1</v>
      </c>
    </row>
    <row r="18" ht="20" customHeight="1" spans="1:28">
      <c r="A18" s="16">
        <v>2</v>
      </c>
      <c r="B18" s="15">
        <f t="shared" si="1"/>
        <v>14</v>
      </c>
      <c r="C18" s="19" t="s">
        <v>933</v>
      </c>
      <c r="D18" s="18" t="str">
        <f t="shared" si="2"/>
        <v>E</v>
      </c>
      <c r="E18" s="44" t="str">
        <f>_xlfn.IFNA(VLOOKUP($C18&amp;","&amp;E3,$C$34:$D$112,2,FALSE),"-1")</f>
        <v>5C</v>
      </c>
      <c r="F18" s="27" t="str">
        <f>_xlfn.IFNA(VLOOKUP($C18&amp;","&amp;F3,$C$34:$D$112,2,FALSE),"-1")</f>
        <v>-1</v>
      </c>
      <c r="G18" s="27" t="str">
        <f>_xlfn.IFNA(VLOOKUP($C18&amp;","&amp;G3,$C$34:$D$112,2,FALSE),"-1")</f>
        <v>-1</v>
      </c>
      <c r="H18" s="27" t="str">
        <f>_xlfn.IFNA(VLOOKUP($C18&amp;","&amp;H3,$C$34:$D$112,2,FALSE),"-1")</f>
        <v>-1</v>
      </c>
      <c r="I18" s="27" t="str">
        <f>_xlfn.IFNA(VLOOKUP($C18&amp;","&amp;I3,$C$34:$D$112,2,FALSE),"-1")</f>
        <v>-1</v>
      </c>
      <c r="J18" s="27" t="str">
        <f>_xlfn.IFNA(VLOOKUP($C18&amp;","&amp;J3,$C$34:$D$112,2,FALSE),"-1")</f>
        <v>-1</v>
      </c>
      <c r="K18" s="27" t="str">
        <f>_xlfn.IFNA(VLOOKUP($C18&amp;","&amp;K3,$C$34:$D$112,2,FALSE),"-1")</f>
        <v>-1</v>
      </c>
      <c r="L18" s="27" t="str">
        <f>_xlfn.IFNA(VLOOKUP($C18&amp;","&amp;L3,$C$34:$D$112,2,FALSE),"-1")</f>
        <v>-1</v>
      </c>
      <c r="M18" s="27" t="str">
        <f>_xlfn.IFNA(VLOOKUP($C18&amp;","&amp;M3,$C$34:$D$112,2,FALSE),"-1")</f>
        <v>-1</v>
      </c>
      <c r="N18" s="27" t="str">
        <f>_xlfn.IFNA(VLOOKUP($C18&amp;","&amp;N3,$C$34:$D$112,2,FALSE),"-1")</f>
        <v>-1</v>
      </c>
      <c r="O18" s="27" t="str">
        <f>_xlfn.IFNA(VLOOKUP($C18&amp;","&amp;O3,$C$34:$D$112,2,FALSE),"-1")</f>
        <v>-1</v>
      </c>
      <c r="P18" s="27" t="str">
        <f>_xlfn.IFNA(VLOOKUP($C18&amp;","&amp;P3,$C$34:$D$112,2,FALSE),"-1")</f>
        <v>-1</v>
      </c>
      <c r="Q18" s="27" t="str">
        <f>_xlfn.IFNA(VLOOKUP($C18&amp;","&amp;Q3,$C$34:$D$112,2,FALSE),"-1")</f>
        <v>-1</v>
      </c>
      <c r="R18" s="27" t="str">
        <f>_xlfn.IFNA(VLOOKUP($C18&amp;","&amp;R3,$C$34:$D$112,2,FALSE),"-1")</f>
        <v>-1</v>
      </c>
      <c r="S18" s="27" t="str">
        <f>_xlfn.IFNA(VLOOKUP($C18&amp;","&amp;S3,$C$34:$D$112,2,FALSE),"-1")</f>
        <v>-1</v>
      </c>
      <c r="T18" s="27" t="str">
        <f>_xlfn.IFNA(VLOOKUP($C18&amp;","&amp;T3,$C$34:$D$112,2,FALSE),"-1")</f>
        <v>-1</v>
      </c>
      <c r="U18" s="27" t="str">
        <f>_xlfn.IFNA(VLOOKUP($C18&amp;","&amp;U3,$C$34:$D$112,2,FALSE),"-1")</f>
        <v>-1</v>
      </c>
      <c r="V18" s="27" t="str">
        <f>_xlfn.IFNA(VLOOKUP($C18&amp;","&amp;V3,$C$34:$D$112,2,FALSE),"-1")</f>
        <v>-1</v>
      </c>
      <c r="W18" s="27" t="str">
        <f>_xlfn.IFNA(VLOOKUP($C18&amp;","&amp;W3,$C$34:$D$112,2,FALSE),"-1")</f>
        <v>-1</v>
      </c>
      <c r="X18" s="27" t="str">
        <f>_xlfn.IFNA(VLOOKUP($C18&amp;","&amp;X3,$C$34:$D$112,2,FALSE),"-1")</f>
        <v>-1</v>
      </c>
      <c r="Y18" s="27" t="str">
        <f>_xlfn.IFNA(VLOOKUP($C18&amp;","&amp;Y3,$C$34:$D$112,2,FALSE),"-1")</f>
        <v>-1</v>
      </c>
      <c r="Z18" s="27" t="str">
        <f>_xlfn.IFNA(VLOOKUP($C18&amp;","&amp;Z3,$C$34:$D$112,2,FALSE),"-1")</f>
        <v>-1</v>
      </c>
      <c r="AA18" s="27" t="str">
        <f>_xlfn.IFNA(VLOOKUP($C18&amp;","&amp;AA3,$C$34:$D$112,2,FALSE),"-1")</f>
        <v>-1</v>
      </c>
      <c r="AB18" s="50" t="str">
        <f>_xlfn.IFNA(VLOOKUP($C18&amp;","&amp;AB3,$C$34:$D$112,2,FALSE),"-1")</f>
        <v>-1</v>
      </c>
    </row>
    <row r="19" ht="20" customHeight="1" spans="1:28">
      <c r="A19" s="16">
        <v>2</v>
      </c>
      <c r="B19" s="15">
        <f t="shared" si="1"/>
        <v>15</v>
      </c>
      <c r="C19" s="19" t="s">
        <v>934</v>
      </c>
      <c r="D19" s="18" t="str">
        <f t="shared" si="2"/>
        <v>F</v>
      </c>
      <c r="E19" s="44" t="str">
        <f>_xlfn.IFNA(VLOOKUP($C19&amp;","&amp;E3,$C$34:$D$112,2,FALSE),"-1")</f>
        <v>5D</v>
      </c>
      <c r="F19" s="27" t="str">
        <f>_xlfn.IFNA(VLOOKUP($C19&amp;","&amp;F3,$C$34:$D$112,2,FALSE),"-1")</f>
        <v>-1</v>
      </c>
      <c r="G19" s="27" t="str">
        <f>_xlfn.IFNA(VLOOKUP($C19&amp;","&amp;G3,$C$34:$D$112,2,FALSE),"-1")</f>
        <v>-1</v>
      </c>
      <c r="H19" s="27" t="str">
        <f>_xlfn.IFNA(VLOOKUP($C19&amp;","&amp;H3,$C$34:$D$112,2,FALSE),"-1")</f>
        <v>-1</v>
      </c>
      <c r="I19" s="27" t="str">
        <f>_xlfn.IFNA(VLOOKUP($C19&amp;","&amp;I3,$C$34:$D$112,2,FALSE),"-1")</f>
        <v>-1</v>
      </c>
      <c r="J19" s="27" t="str">
        <f>_xlfn.IFNA(VLOOKUP($C19&amp;","&amp;J3,$C$34:$D$112,2,FALSE),"-1")</f>
        <v>-1</v>
      </c>
      <c r="K19" s="27" t="str">
        <f>_xlfn.IFNA(VLOOKUP($C19&amp;","&amp;K3,$C$34:$D$112,2,FALSE),"-1")</f>
        <v>-1</v>
      </c>
      <c r="L19" s="27" t="str">
        <f>_xlfn.IFNA(VLOOKUP($C19&amp;","&amp;L3,$C$34:$D$112,2,FALSE),"-1")</f>
        <v>-1</v>
      </c>
      <c r="M19" s="27" t="str">
        <f>_xlfn.IFNA(VLOOKUP($C19&amp;","&amp;M3,$C$34:$D$112,2,FALSE),"-1")</f>
        <v>-1</v>
      </c>
      <c r="N19" s="27" t="str">
        <f>_xlfn.IFNA(VLOOKUP($C19&amp;","&amp;N3,$C$34:$D$112,2,FALSE),"-1")</f>
        <v>-1</v>
      </c>
      <c r="O19" s="27" t="str">
        <f>_xlfn.IFNA(VLOOKUP($C19&amp;","&amp;O3,$C$34:$D$112,2,FALSE),"-1")</f>
        <v>-1</v>
      </c>
      <c r="P19" s="27" t="str">
        <f>_xlfn.IFNA(VLOOKUP($C19&amp;","&amp;P3,$C$34:$D$112,2,FALSE),"-1")</f>
        <v>-1</v>
      </c>
      <c r="Q19" s="27" t="str">
        <f>_xlfn.IFNA(VLOOKUP($C19&amp;","&amp;Q3,$C$34:$D$112,2,FALSE),"-1")</f>
        <v>-1</v>
      </c>
      <c r="R19" s="27" t="str">
        <f>_xlfn.IFNA(VLOOKUP($C19&amp;","&amp;R3,$C$34:$D$112,2,FALSE),"-1")</f>
        <v>-1</v>
      </c>
      <c r="S19" s="27" t="str">
        <f>_xlfn.IFNA(VLOOKUP($C19&amp;","&amp;S3,$C$34:$D$112,2,FALSE),"-1")</f>
        <v>-1</v>
      </c>
      <c r="T19" s="27" t="str">
        <f>_xlfn.IFNA(VLOOKUP($C19&amp;","&amp;T3,$C$34:$D$112,2,FALSE),"-1")</f>
        <v>-1</v>
      </c>
      <c r="U19" s="27" t="str">
        <f>_xlfn.IFNA(VLOOKUP($C19&amp;","&amp;U3,$C$34:$D$112,2,FALSE),"-1")</f>
        <v>-1</v>
      </c>
      <c r="V19" s="27" t="str">
        <f>_xlfn.IFNA(VLOOKUP($C19&amp;","&amp;V3,$C$34:$D$112,2,FALSE),"-1")</f>
        <v>-1</v>
      </c>
      <c r="W19" s="27" t="str">
        <f>_xlfn.IFNA(VLOOKUP($C19&amp;","&amp;W3,$C$34:$D$112,2,FALSE),"-1")</f>
        <v>-1</v>
      </c>
      <c r="X19" s="27" t="str">
        <f>_xlfn.IFNA(VLOOKUP($C19&amp;","&amp;X3,$C$34:$D$112,2,FALSE),"-1")</f>
        <v>-1</v>
      </c>
      <c r="Y19" s="27" t="str">
        <f>_xlfn.IFNA(VLOOKUP($C19&amp;","&amp;Y3,$C$34:$D$112,2,FALSE),"-1")</f>
        <v>-1</v>
      </c>
      <c r="Z19" s="27" t="str">
        <f>_xlfn.IFNA(VLOOKUP($C19&amp;","&amp;Z3,$C$34:$D$112,2,FALSE),"-1")</f>
        <v>-1</v>
      </c>
      <c r="AA19" s="27" t="str">
        <f>_xlfn.IFNA(VLOOKUP($C19&amp;","&amp;AA3,$C$34:$D$112,2,FALSE),"-1")</f>
        <v>-1</v>
      </c>
      <c r="AB19" s="50" t="str">
        <f>_xlfn.IFNA(VLOOKUP($C19&amp;","&amp;AB3,$C$34:$D$112,2,FALSE),"-1")</f>
        <v>-1</v>
      </c>
    </row>
    <row r="20" ht="20" customHeight="1" spans="1:28">
      <c r="A20" s="16">
        <v>2</v>
      </c>
      <c r="B20" s="15">
        <f t="shared" si="1"/>
        <v>16</v>
      </c>
      <c r="C20" s="19" t="s">
        <v>935</v>
      </c>
      <c r="D20" s="18" t="str">
        <f t="shared" si="2"/>
        <v>10</v>
      </c>
      <c r="E20" s="44" t="str">
        <f>_xlfn.IFNA(VLOOKUP($C20&amp;","&amp;E3,$C$34:$D$112,2,FALSE),"-1")</f>
        <v>5E</v>
      </c>
      <c r="F20" s="27" t="str">
        <f>_xlfn.IFNA(VLOOKUP($C20&amp;","&amp;F3,$C$34:$D$112,2,FALSE),"-1")</f>
        <v>-1</v>
      </c>
      <c r="G20" s="27" t="str">
        <f>_xlfn.IFNA(VLOOKUP($C20&amp;","&amp;G3,$C$34:$D$112,2,FALSE),"-1")</f>
        <v>-1</v>
      </c>
      <c r="H20" s="27" t="str">
        <f>_xlfn.IFNA(VLOOKUP($C20&amp;","&amp;H3,$C$34:$D$112,2,FALSE),"-1")</f>
        <v>-1</v>
      </c>
      <c r="I20" s="27" t="str">
        <f>_xlfn.IFNA(VLOOKUP($C20&amp;","&amp;I3,$C$34:$D$112,2,FALSE),"-1")</f>
        <v>-1</v>
      </c>
      <c r="J20" s="27" t="str">
        <f>_xlfn.IFNA(VLOOKUP($C20&amp;","&amp;J3,$C$34:$D$112,2,FALSE),"-1")</f>
        <v>-1</v>
      </c>
      <c r="K20" s="27" t="str">
        <f>_xlfn.IFNA(VLOOKUP($C20&amp;","&amp;K3,$C$34:$D$112,2,FALSE),"-1")</f>
        <v>-1</v>
      </c>
      <c r="L20" s="27" t="str">
        <f>_xlfn.IFNA(VLOOKUP($C20&amp;","&amp;L3,$C$34:$D$112,2,FALSE),"-1")</f>
        <v>-1</v>
      </c>
      <c r="M20" s="27" t="str">
        <f>_xlfn.IFNA(VLOOKUP($C20&amp;","&amp;M3,$C$34:$D$112,2,FALSE),"-1")</f>
        <v>-1</v>
      </c>
      <c r="N20" s="27" t="str">
        <f>_xlfn.IFNA(VLOOKUP($C20&amp;","&amp;N3,$C$34:$D$112,2,FALSE),"-1")</f>
        <v>-1</v>
      </c>
      <c r="O20" s="27" t="str">
        <f>_xlfn.IFNA(VLOOKUP($C20&amp;","&amp;O3,$C$34:$D$112,2,FALSE),"-1")</f>
        <v>-1</v>
      </c>
      <c r="P20" s="27" t="str">
        <f>_xlfn.IFNA(VLOOKUP($C20&amp;","&amp;P3,$C$34:$D$112,2,FALSE),"-1")</f>
        <v>-1</v>
      </c>
      <c r="Q20" s="27" t="str">
        <f>_xlfn.IFNA(VLOOKUP($C20&amp;","&amp;Q3,$C$34:$D$112,2,FALSE),"-1")</f>
        <v>-1</v>
      </c>
      <c r="R20" s="27" t="str">
        <f>_xlfn.IFNA(VLOOKUP($C20&amp;","&amp;R3,$C$34:$D$112,2,FALSE),"-1")</f>
        <v>-1</v>
      </c>
      <c r="S20" s="27" t="str">
        <f>_xlfn.IFNA(VLOOKUP($C20&amp;","&amp;S3,$C$34:$D$112,2,FALSE),"-1")</f>
        <v>-1</v>
      </c>
      <c r="T20" s="27" t="str">
        <f>_xlfn.IFNA(VLOOKUP($C20&amp;","&amp;T3,$C$34:$D$112,2,FALSE),"-1")</f>
        <v>-1</v>
      </c>
      <c r="U20" s="27" t="str">
        <f>_xlfn.IFNA(VLOOKUP($C20&amp;","&amp;U3,$C$34:$D$112,2,FALSE),"-1")</f>
        <v>-1</v>
      </c>
      <c r="V20" s="27" t="str">
        <f>_xlfn.IFNA(VLOOKUP($C20&amp;","&amp;V3,$C$34:$D$112,2,FALSE),"-1")</f>
        <v>-1</v>
      </c>
      <c r="W20" s="27" t="str">
        <f>_xlfn.IFNA(VLOOKUP($C20&amp;","&amp;W3,$C$34:$D$112,2,FALSE),"-1")</f>
        <v>-1</v>
      </c>
      <c r="X20" s="27" t="str">
        <f>_xlfn.IFNA(VLOOKUP($C20&amp;","&amp;X3,$C$34:$D$112,2,FALSE),"-1")</f>
        <v>-1</v>
      </c>
      <c r="Y20" s="27" t="str">
        <f>_xlfn.IFNA(VLOOKUP($C20&amp;","&amp;Y3,$C$34:$D$112,2,FALSE),"-1")</f>
        <v>-1</v>
      </c>
      <c r="Z20" s="27" t="str">
        <f>_xlfn.IFNA(VLOOKUP($C20&amp;","&amp;Z3,$C$34:$D$112,2,FALSE),"-1")</f>
        <v>-1</v>
      </c>
      <c r="AA20" s="27" t="str">
        <f>_xlfn.IFNA(VLOOKUP($C20&amp;","&amp;AA3,$C$34:$D$112,2,FALSE),"-1")</f>
        <v>-1</v>
      </c>
      <c r="AB20" s="50" t="str">
        <f>_xlfn.IFNA(VLOOKUP($C20&amp;","&amp;AB3,$C$34:$D$112,2,FALSE),"-1")</f>
        <v>-1</v>
      </c>
    </row>
    <row r="21" ht="20" customHeight="1" spans="1:28">
      <c r="A21" s="16">
        <v>2</v>
      </c>
      <c r="B21" s="15">
        <f t="shared" si="1"/>
        <v>17</v>
      </c>
      <c r="C21" s="19" t="s">
        <v>936</v>
      </c>
      <c r="D21" s="18" t="str">
        <f t="shared" si="2"/>
        <v>11</v>
      </c>
      <c r="E21" s="45" t="str">
        <f>_xlfn.IFNA(VLOOKUP($C21&amp;","&amp;E3,$C$34:$D$112,2,FALSE),"-1")</f>
        <v>5F</v>
      </c>
      <c r="F21" s="28" t="str">
        <f>_xlfn.IFNA(VLOOKUP($C21&amp;","&amp;F3,$C$34:$D$112,2,FALSE),"-1")</f>
        <v>-1</v>
      </c>
      <c r="G21" s="28" t="str">
        <f>_xlfn.IFNA(VLOOKUP($C21&amp;","&amp;G3,$C$34:$D$112,2,FALSE),"-1")</f>
        <v>-1</v>
      </c>
      <c r="H21" s="28" t="str">
        <f>_xlfn.IFNA(VLOOKUP($C21&amp;","&amp;H3,$C$34:$D$112,2,FALSE),"-1")</f>
        <v>-1</v>
      </c>
      <c r="I21" s="28" t="str">
        <f>_xlfn.IFNA(VLOOKUP($C21&amp;","&amp;I3,$C$34:$D$112,2,FALSE),"-1")</f>
        <v>-1</v>
      </c>
      <c r="J21" s="28" t="str">
        <f>_xlfn.IFNA(VLOOKUP($C21&amp;","&amp;J3,$C$34:$D$112,2,FALSE),"-1")</f>
        <v>-1</v>
      </c>
      <c r="K21" s="28" t="str">
        <f>_xlfn.IFNA(VLOOKUP($C21&amp;","&amp;K3,$C$34:$D$112,2,FALSE),"-1")</f>
        <v>-1</v>
      </c>
      <c r="L21" s="28" t="str">
        <f>_xlfn.IFNA(VLOOKUP($C21&amp;","&amp;L3,$C$34:$D$112,2,FALSE),"-1")</f>
        <v>-1</v>
      </c>
      <c r="M21" s="28" t="str">
        <f>_xlfn.IFNA(VLOOKUP($C21&amp;","&amp;M3,$C$34:$D$112,2,FALSE),"-1")</f>
        <v>-1</v>
      </c>
      <c r="N21" s="28" t="str">
        <f>_xlfn.IFNA(VLOOKUP($C21&amp;","&amp;N3,$C$34:$D$112,2,FALSE),"-1")</f>
        <v>-1</v>
      </c>
      <c r="O21" s="28" t="str">
        <f>_xlfn.IFNA(VLOOKUP($C21&amp;","&amp;O3,$C$34:$D$112,2,FALSE),"-1")</f>
        <v>60</v>
      </c>
      <c r="P21" s="28" t="str">
        <f>_xlfn.IFNA(VLOOKUP($C21&amp;","&amp;P3,$C$34:$D$112,2,FALSE),"-1")</f>
        <v>-1</v>
      </c>
      <c r="Q21" s="28" t="str">
        <f>_xlfn.IFNA(VLOOKUP($C21&amp;","&amp;Q3,$C$34:$D$112,2,FALSE),"-1")</f>
        <v>-1</v>
      </c>
      <c r="R21" s="28" t="str">
        <f>_xlfn.IFNA(VLOOKUP($C21&amp;","&amp;R3,$C$34:$D$112,2,FALSE),"-1")</f>
        <v>-1</v>
      </c>
      <c r="S21" s="28" t="str">
        <f>_xlfn.IFNA(VLOOKUP($C21&amp;","&amp;S3,$C$34:$D$112,2,FALSE),"-1")</f>
        <v>-1</v>
      </c>
      <c r="T21" s="28" t="str">
        <f>_xlfn.IFNA(VLOOKUP($C21&amp;","&amp;T3,$C$34:$D$112,2,FALSE),"-1")</f>
        <v>-1</v>
      </c>
      <c r="U21" s="28" t="str">
        <f>_xlfn.IFNA(VLOOKUP($C21&amp;","&amp;U3,$C$34:$D$112,2,FALSE),"-1")</f>
        <v>-1</v>
      </c>
      <c r="V21" s="28" t="str">
        <f>_xlfn.IFNA(VLOOKUP($C21&amp;","&amp;V3,$C$34:$D$112,2,FALSE),"-1")</f>
        <v>-1</v>
      </c>
      <c r="W21" s="28" t="str">
        <f>_xlfn.IFNA(VLOOKUP($C21&amp;","&amp;W3,$C$34:$D$112,2,FALSE),"-1")</f>
        <v>-1</v>
      </c>
      <c r="X21" s="28" t="str">
        <f>_xlfn.IFNA(VLOOKUP($C21&amp;","&amp;X3,$C$34:$D$112,2,FALSE),"-1")</f>
        <v>-1</v>
      </c>
      <c r="Y21" s="28" t="str">
        <f>_xlfn.IFNA(VLOOKUP($C21&amp;","&amp;Y3,$C$34:$D$112,2,FALSE),"-1")</f>
        <v>-1</v>
      </c>
      <c r="Z21" s="28" t="str">
        <f>_xlfn.IFNA(VLOOKUP($C21&amp;","&amp;Z3,$C$34:$D$112,2,FALSE),"-1")</f>
        <v>-1</v>
      </c>
      <c r="AA21" s="28" t="str">
        <f>_xlfn.IFNA(VLOOKUP($C21&amp;","&amp;AA3,$C$34:$D$112,2,FALSE),"-1")</f>
        <v>-1</v>
      </c>
      <c r="AB21" s="51" t="str">
        <f>_xlfn.IFNA(VLOOKUP($C21&amp;","&amp;AB3,$C$34:$D$112,2,FALSE),"-1")</f>
        <v>-1</v>
      </c>
    </row>
    <row r="22" ht="20" customHeight="1" spans="1:28">
      <c r="A22" s="16">
        <v>3</v>
      </c>
      <c r="B22" s="15">
        <f t="shared" si="1"/>
        <v>18</v>
      </c>
      <c r="C22" s="19" t="s">
        <v>937</v>
      </c>
      <c r="D22" s="18" t="str">
        <f t="shared" si="2"/>
        <v>12</v>
      </c>
      <c r="E22" s="27" t="str">
        <f>_xlfn.IFNA(VLOOKUP($C22&amp;","&amp;E3,$C$23:$D$112,2,FALSE),"-1")</f>
        <v>15</v>
      </c>
      <c r="F22" s="27" t="str">
        <f>_xlfn.IFNA(VLOOKUP($C22&amp;","&amp;F3,$C$23:$D$112,2,FALSE),"-1")</f>
        <v>16</v>
      </c>
      <c r="G22" s="27" t="str">
        <f>_xlfn.IFNA(VLOOKUP($C22&amp;","&amp;G3,$C$23:$D$112,2,FALSE),"-1")</f>
        <v>17</v>
      </c>
      <c r="H22" s="27" t="str">
        <f>_xlfn.IFNA(VLOOKUP($C22&amp;","&amp;H3,$C$23:$D$112,2,FALSE),"-1")</f>
        <v>18</v>
      </c>
      <c r="I22" s="27" t="str">
        <f>_xlfn.IFNA(VLOOKUP($C22&amp;","&amp;I3,$C$23:$D$112,2,FALSE),"-1")</f>
        <v>19</v>
      </c>
      <c r="J22" s="27" t="str">
        <f>_xlfn.IFNA(VLOOKUP($C22&amp;","&amp;J3,$C$23:$D$112,2,FALSE),"-1")</f>
        <v>1A</v>
      </c>
      <c r="K22" s="27" t="str">
        <f>_xlfn.IFNA(VLOOKUP($C22&amp;","&amp;K3,$C$23:$D$112,2,FALSE),"-1")</f>
        <v>1B</v>
      </c>
      <c r="L22" s="27" t="str">
        <f>_xlfn.IFNA(VLOOKUP($C22&amp;","&amp;L3,$C$23:$D$112,2,FALSE),"-1")</f>
        <v>1C</v>
      </c>
      <c r="M22" s="27" t="str">
        <f>_xlfn.IFNA(VLOOKUP($C22&amp;","&amp;M3,$C$23:$D$112,2,FALSE),"-1")</f>
        <v>1D</v>
      </c>
      <c r="N22" s="27" t="str">
        <f>_xlfn.IFNA(VLOOKUP($C22&amp;","&amp;N3,$C$23:$D$112,2,FALSE),"-1")</f>
        <v>-1</v>
      </c>
      <c r="O22" s="27" t="str">
        <f>_xlfn.IFNA(VLOOKUP($C22&amp;","&amp;O3,$C$23:$D$112,2,FALSE),"-1")</f>
        <v>-1</v>
      </c>
      <c r="P22" s="27" t="str">
        <f>_xlfn.IFNA(VLOOKUP($C22&amp;","&amp;P3,$C$23:$D$112,2,FALSE),"-1")</f>
        <v>13</v>
      </c>
      <c r="Q22" s="27" t="str">
        <f>_xlfn.IFNA(VLOOKUP($C22&amp;","&amp;Q3,$C$23:$D$112,2,FALSE),"-1")</f>
        <v>14</v>
      </c>
      <c r="R22" s="27" t="str">
        <f>_xlfn.IFNA(VLOOKUP($C22&amp;","&amp;R3,$C$23:$D$112,2,FALSE),"-1")</f>
        <v>-1</v>
      </c>
      <c r="S22" s="27" t="str">
        <f>_xlfn.IFNA(VLOOKUP($C22&amp;","&amp;S3,$C$23:$D$112,2,FALSE),"-1")</f>
        <v>-1</v>
      </c>
      <c r="T22" s="27" t="str">
        <f>_xlfn.IFNA(VLOOKUP($C22&amp;","&amp;T3,$C$23:$D$112,2,FALSE),"-1")</f>
        <v>-1</v>
      </c>
      <c r="U22" s="27" t="str">
        <f>_xlfn.IFNA(VLOOKUP($C22&amp;","&amp;U3,$C$23:$D$112,2,FALSE),"-1")</f>
        <v>-1</v>
      </c>
      <c r="V22" s="27" t="str">
        <f>_xlfn.IFNA(VLOOKUP($C22&amp;","&amp;V3,$C$23:$D$112,2,FALSE),"-1")</f>
        <v>-1</v>
      </c>
      <c r="W22" s="27" t="str">
        <f>_xlfn.IFNA(VLOOKUP($C22&amp;","&amp;W3,$C$23:$D$112,2,FALSE),"-1")</f>
        <v>-1</v>
      </c>
      <c r="X22" s="27" t="str">
        <f>_xlfn.IFNA(VLOOKUP($C22&amp;","&amp;X3,$C$23:$D$112,2,FALSE),"-1")</f>
        <v>-1</v>
      </c>
      <c r="Y22" s="27" t="str">
        <f>_xlfn.IFNA(VLOOKUP($C22&amp;","&amp;Y3,$C$23:$D$112,2,FALSE),"-1")</f>
        <v>-1</v>
      </c>
      <c r="Z22" s="27" t="str">
        <f>_xlfn.IFNA(VLOOKUP($C22&amp;","&amp;Z3,$C$23:$D$112,2,FALSE),"-1")</f>
        <v>-1</v>
      </c>
      <c r="AA22" s="27" t="str">
        <f>_xlfn.IFNA(VLOOKUP($C22&amp;","&amp;AA3,$C$23:$D$112,2,FALSE),"-1")</f>
        <v>-1</v>
      </c>
      <c r="AB22" s="27" t="str">
        <f>_xlfn.IFNA(VLOOKUP($C22&amp;","&amp;AB3,$C$23:$D$112,2,FALSE),"-1")</f>
        <v>-1</v>
      </c>
    </row>
    <row r="23" ht="20" customHeight="1" spans="1:28">
      <c r="A23" s="16">
        <v>3</v>
      </c>
      <c r="B23" s="15">
        <f t="shared" si="1"/>
        <v>19</v>
      </c>
      <c r="C23" s="19" t="s">
        <v>938</v>
      </c>
      <c r="D23" s="18" t="str">
        <f t="shared" si="2"/>
        <v>13</v>
      </c>
      <c r="E23" s="46" t="str">
        <f>_xlfn.IFNA(VLOOKUP($C23&amp;","&amp;E3,$C$34:$D$112,2,FALSE),"-1")</f>
        <v>-1</v>
      </c>
      <c r="F23" s="47" t="str">
        <f>_xlfn.IFNA(VLOOKUP($C23&amp;","&amp;F3,$C$34:$D$112,2,FALSE),"-1")</f>
        <v>-1</v>
      </c>
      <c r="G23" s="47" t="str">
        <f>_xlfn.IFNA(VLOOKUP($C23&amp;","&amp;G3,$C$34:$D$112,2,FALSE),"-1")</f>
        <v>-1</v>
      </c>
      <c r="H23" s="47" t="str">
        <f>_xlfn.IFNA(VLOOKUP($C23&amp;","&amp;H3,$C$34:$D$112,2,FALSE),"-1")</f>
        <v>-1</v>
      </c>
      <c r="I23" s="47" t="str">
        <f>_xlfn.IFNA(VLOOKUP($C23&amp;","&amp;I3,$C$34:$D$112,2,FALSE),"-1")</f>
        <v>-1</v>
      </c>
      <c r="J23" s="47" t="str">
        <f>_xlfn.IFNA(VLOOKUP($C23&amp;","&amp;J3,$C$34:$D$112,2,FALSE),"-1")</f>
        <v>-1</v>
      </c>
      <c r="K23" s="47" t="str">
        <f>_xlfn.IFNA(VLOOKUP($C23&amp;","&amp;K3,$C$34:$D$112,2,FALSE),"-1")</f>
        <v>-1</v>
      </c>
      <c r="L23" s="47" t="str">
        <f>_xlfn.IFNA(VLOOKUP($C23&amp;","&amp;L3,$C$34:$D$112,2,FALSE),"-1")</f>
        <v>-1</v>
      </c>
      <c r="M23" s="47" t="str">
        <f>_xlfn.IFNA(VLOOKUP($C23&amp;","&amp;M3,$C$34:$D$112,2,FALSE),"-1")</f>
        <v>-1</v>
      </c>
      <c r="N23" s="47" t="str">
        <f>_xlfn.IFNA(VLOOKUP($C23&amp;","&amp;N3,$C$34:$D$112,2,FALSE),"-1")</f>
        <v>61</v>
      </c>
      <c r="O23" s="47" t="str">
        <f>_xlfn.IFNA(VLOOKUP($C23&amp;","&amp;O3,$C$34:$D$112,2,FALSE),"-1")</f>
        <v>-1</v>
      </c>
      <c r="P23" s="47" t="str">
        <f>_xlfn.IFNA(VLOOKUP($C23&amp;","&amp;P3,$C$34:$D$112,2,FALSE),"-1")</f>
        <v>-1</v>
      </c>
      <c r="Q23" s="47" t="str">
        <f>_xlfn.IFNA(VLOOKUP($C23&amp;","&amp;Q3,$C$34:$D$112,2,FALSE),"-1")</f>
        <v>-1</v>
      </c>
      <c r="R23" s="47" t="str">
        <f>_xlfn.IFNA(VLOOKUP($C23&amp;","&amp;R3,$C$34:$D$112,2,FALSE),"-1")</f>
        <v>-1</v>
      </c>
      <c r="S23" s="47" t="str">
        <f>_xlfn.IFNA(VLOOKUP($C23&amp;","&amp;S3,$C$34:$D$112,2,FALSE),"-1")</f>
        <v>-1</v>
      </c>
      <c r="T23" s="47" t="str">
        <f>_xlfn.IFNA(VLOOKUP($C23&amp;","&amp;T3,$C$34:$D$112,2,FALSE),"-1")</f>
        <v>-1</v>
      </c>
      <c r="U23" s="47" t="str">
        <f>_xlfn.IFNA(VLOOKUP($C23&amp;","&amp;U3,$C$34:$D$112,2,FALSE),"-1")</f>
        <v>-1</v>
      </c>
      <c r="V23" s="47" t="str">
        <f>_xlfn.IFNA(VLOOKUP($C23&amp;","&amp;V3,$C$34:$D$112,2,FALSE),"-1")</f>
        <v>-1</v>
      </c>
      <c r="W23" s="47" t="str">
        <f>_xlfn.IFNA(VLOOKUP($C23&amp;","&amp;W3,$C$34:$D$112,2,FALSE),"-1")</f>
        <v>-1</v>
      </c>
      <c r="X23" s="47" t="str">
        <f>_xlfn.IFNA(VLOOKUP($C23&amp;","&amp;X3,$C$34:$D$112,2,FALSE),"-1")</f>
        <v>-1</v>
      </c>
      <c r="Y23" s="47" t="str">
        <f>_xlfn.IFNA(VLOOKUP($C23&amp;","&amp;Y3,$C$34:$D$112,2,FALSE),"-1")</f>
        <v>-1</v>
      </c>
      <c r="Z23" s="47" t="str">
        <f>_xlfn.IFNA(VLOOKUP($C23&amp;","&amp;Z3,$C$34:$D$112,2,FALSE),"-1")</f>
        <v>-1</v>
      </c>
      <c r="AA23" s="47" t="str">
        <f>_xlfn.IFNA(VLOOKUP($C23&amp;","&amp;AA3,$C$34:$D$112,2,FALSE),"-1")</f>
        <v>-1</v>
      </c>
      <c r="AB23" s="52" t="str">
        <f>_xlfn.IFNA(VLOOKUP($C23&amp;","&amp;AB3,$C$34:$D$112,2,FALSE),"-1")</f>
        <v>-1</v>
      </c>
    </row>
    <row r="24" ht="20" customHeight="1" spans="1:28">
      <c r="A24" s="16">
        <v>3</v>
      </c>
      <c r="B24" s="15">
        <f t="shared" si="1"/>
        <v>20</v>
      </c>
      <c r="C24" s="19" t="s">
        <v>939</v>
      </c>
      <c r="D24" s="18" t="str">
        <f t="shared" si="2"/>
        <v>14</v>
      </c>
      <c r="E24" s="44" t="str">
        <f>_xlfn.IFNA(VLOOKUP($C24&amp;","&amp;E3,$C$34:$D$112,2,FALSE),"-1")</f>
        <v>-1</v>
      </c>
      <c r="F24" s="27" t="str">
        <f>_xlfn.IFNA(VLOOKUP($C24&amp;","&amp;F3,$C$34:$D$112,2,FALSE),"-1")</f>
        <v>-1</v>
      </c>
      <c r="G24" s="27" t="str">
        <f>_xlfn.IFNA(VLOOKUP($C24&amp;","&amp;G3,$C$34:$D$112,2,FALSE),"-1")</f>
        <v>-1</v>
      </c>
      <c r="H24" s="27" t="str">
        <f>_xlfn.IFNA(VLOOKUP($C24&amp;","&amp;H3,$C$34:$D$112,2,FALSE),"-1")</f>
        <v>-1</v>
      </c>
      <c r="I24" s="27" t="str">
        <f>_xlfn.IFNA(VLOOKUP($C24&amp;","&amp;I3,$C$34:$D$112,2,FALSE),"-1")</f>
        <v>-1</v>
      </c>
      <c r="J24" s="27" t="str">
        <f>_xlfn.IFNA(VLOOKUP($C24&amp;","&amp;J3,$C$34:$D$112,2,FALSE),"-1")</f>
        <v>-1</v>
      </c>
      <c r="K24" s="27" t="str">
        <f>_xlfn.IFNA(VLOOKUP($C24&amp;","&amp;K3,$C$34:$D$112,2,FALSE),"-1")</f>
        <v>-1</v>
      </c>
      <c r="L24" s="27" t="str">
        <f>_xlfn.IFNA(VLOOKUP($C24&amp;","&amp;L3,$C$34:$D$112,2,FALSE),"-1")</f>
        <v>-1</v>
      </c>
      <c r="M24" s="27" t="str">
        <f>_xlfn.IFNA(VLOOKUP($C24&amp;","&amp;M3,$C$34:$D$112,2,FALSE),"-1")</f>
        <v>-1</v>
      </c>
      <c r="N24" s="27" t="str">
        <f>_xlfn.IFNA(VLOOKUP($C24&amp;","&amp;N3,$C$34:$D$112,2,FALSE),"-1")</f>
        <v>62</v>
      </c>
      <c r="O24" s="27" t="str">
        <f>_xlfn.IFNA(VLOOKUP($C24&amp;","&amp;O3,$C$34:$D$112,2,FALSE),"-1")</f>
        <v>-1</v>
      </c>
      <c r="P24" s="27" t="str">
        <f>_xlfn.IFNA(VLOOKUP($C24&amp;","&amp;P3,$C$34:$D$112,2,FALSE),"-1")</f>
        <v>-1</v>
      </c>
      <c r="Q24" s="27" t="str">
        <f>_xlfn.IFNA(VLOOKUP($C24&amp;","&amp;Q3,$C$34:$D$112,2,FALSE),"-1")</f>
        <v>-1</v>
      </c>
      <c r="R24" s="27" t="str">
        <f>_xlfn.IFNA(VLOOKUP($C24&amp;","&amp;R3,$C$34:$D$112,2,FALSE),"-1")</f>
        <v>-1</v>
      </c>
      <c r="S24" s="27" t="str">
        <f>_xlfn.IFNA(VLOOKUP($C24&amp;","&amp;S3,$C$34:$D$112,2,FALSE),"-1")</f>
        <v>-1</v>
      </c>
      <c r="T24" s="27" t="str">
        <f>_xlfn.IFNA(VLOOKUP($C24&amp;","&amp;T3,$C$34:$D$112,2,FALSE),"-1")</f>
        <v>-1</v>
      </c>
      <c r="U24" s="27" t="str">
        <f>_xlfn.IFNA(VLOOKUP($C24&amp;","&amp;U3,$C$34:$D$112,2,FALSE),"-1")</f>
        <v>-1</v>
      </c>
      <c r="V24" s="27" t="str">
        <f>_xlfn.IFNA(VLOOKUP($C24&amp;","&amp;V3,$C$34:$D$112,2,FALSE),"-1")</f>
        <v>-1</v>
      </c>
      <c r="W24" s="27" t="str">
        <f>_xlfn.IFNA(VLOOKUP($C24&amp;","&amp;W3,$C$34:$D$112,2,FALSE),"-1")</f>
        <v>-1</v>
      </c>
      <c r="X24" s="27" t="str">
        <f>_xlfn.IFNA(VLOOKUP($C24&amp;","&amp;X3,$C$34:$D$112,2,FALSE),"-1")</f>
        <v>-1</v>
      </c>
      <c r="Y24" s="27" t="str">
        <f>_xlfn.IFNA(VLOOKUP($C24&amp;","&amp;Y3,$C$34:$D$112,2,FALSE),"-1")</f>
        <v>-1</v>
      </c>
      <c r="Z24" s="27" t="str">
        <f>_xlfn.IFNA(VLOOKUP($C24&amp;","&amp;Z3,$C$34:$D$112,2,FALSE),"-1")</f>
        <v>-1</v>
      </c>
      <c r="AA24" s="27" t="str">
        <f>_xlfn.IFNA(VLOOKUP($C24&amp;","&amp;AA3,$C$34:$D$112,2,FALSE),"-1")</f>
        <v>-1</v>
      </c>
      <c r="AB24" s="50" t="str">
        <f>_xlfn.IFNA(VLOOKUP($C24&amp;","&amp;AB3,$C$34:$D$112,2,FALSE),"-1")</f>
        <v>-1</v>
      </c>
    </row>
    <row r="25" ht="20" customHeight="1" spans="1:28">
      <c r="A25" s="16">
        <v>3</v>
      </c>
      <c r="B25" s="15">
        <f t="shared" si="1"/>
        <v>21</v>
      </c>
      <c r="C25" s="19" t="s">
        <v>940</v>
      </c>
      <c r="D25" s="18" t="str">
        <f t="shared" si="2"/>
        <v>15</v>
      </c>
      <c r="E25" s="44" t="str">
        <f>_xlfn.IFNA(VLOOKUP($C25&amp;","&amp;E3,$C$34:$D$112,2,FALSE),"-1")</f>
        <v>-1</v>
      </c>
      <c r="F25" s="27" t="str">
        <f>_xlfn.IFNA(VLOOKUP($C25&amp;","&amp;F3,$C$34:$D$112,2,FALSE),"-1")</f>
        <v>-1</v>
      </c>
      <c r="G25" s="27" t="str">
        <f>_xlfn.IFNA(VLOOKUP($C25&amp;","&amp;G3,$C$34:$D$112,2,FALSE),"-1")</f>
        <v>-1</v>
      </c>
      <c r="H25" s="27" t="str">
        <f>_xlfn.IFNA(VLOOKUP($C25&amp;","&amp;H3,$C$34:$D$112,2,FALSE),"-1")</f>
        <v>-1</v>
      </c>
      <c r="I25" s="27" t="str">
        <f>_xlfn.IFNA(VLOOKUP($C25&amp;","&amp;I3,$C$34:$D$112,2,FALSE),"-1")</f>
        <v>-1</v>
      </c>
      <c r="J25" s="27" t="str">
        <f>_xlfn.IFNA(VLOOKUP($C25&amp;","&amp;J3,$C$34:$D$112,2,FALSE),"-1")</f>
        <v>-1</v>
      </c>
      <c r="K25" s="27" t="str">
        <f>_xlfn.IFNA(VLOOKUP($C25&amp;","&amp;K3,$C$34:$D$112,2,FALSE),"-1")</f>
        <v>-1</v>
      </c>
      <c r="L25" s="27" t="str">
        <f>_xlfn.IFNA(VLOOKUP($C25&amp;","&amp;L3,$C$34:$D$112,2,FALSE),"-1")</f>
        <v>-1</v>
      </c>
      <c r="M25" s="27" t="str">
        <f>_xlfn.IFNA(VLOOKUP($C25&amp;","&amp;M3,$C$34:$D$112,2,FALSE),"-1")</f>
        <v>-1</v>
      </c>
      <c r="N25" s="27" t="str">
        <f>_xlfn.IFNA(VLOOKUP($C25&amp;","&amp;N3,$C$34:$D$112,2,FALSE),"-1")</f>
        <v>63</v>
      </c>
      <c r="O25" s="27" t="str">
        <f>_xlfn.IFNA(VLOOKUP($C25&amp;","&amp;O3,$C$34:$D$112,2,FALSE),"-1")</f>
        <v>64</v>
      </c>
      <c r="P25" s="27" t="str">
        <f>_xlfn.IFNA(VLOOKUP($C25&amp;","&amp;P3,$C$34:$D$112,2,FALSE),"-1")</f>
        <v>-1</v>
      </c>
      <c r="Q25" s="27" t="str">
        <f>_xlfn.IFNA(VLOOKUP($C25&amp;","&amp;Q3,$C$34:$D$112,2,FALSE),"-1")</f>
        <v>-1</v>
      </c>
      <c r="R25" s="27" t="str">
        <f>_xlfn.IFNA(VLOOKUP($C25&amp;","&amp;R3,$C$34:$D$112,2,FALSE),"-1")</f>
        <v>-1</v>
      </c>
      <c r="S25" s="27" t="str">
        <f>_xlfn.IFNA(VLOOKUP($C25&amp;","&amp;S3,$C$34:$D$112,2,FALSE),"-1")</f>
        <v>-1</v>
      </c>
      <c r="T25" s="27" t="str">
        <f>_xlfn.IFNA(VLOOKUP($C25&amp;","&amp;T3,$C$34:$D$112,2,FALSE),"-1")</f>
        <v>-1</v>
      </c>
      <c r="U25" s="27" t="str">
        <f>_xlfn.IFNA(VLOOKUP($C25&amp;","&amp;U3,$C$34:$D$112,2,FALSE),"-1")</f>
        <v>-1</v>
      </c>
      <c r="V25" s="27" t="str">
        <f>_xlfn.IFNA(VLOOKUP($C25&amp;","&amp;V3,$C$34:$D$112,2,FALSE),"-1")</f>
        <v>-1</v>
      </c>
      <c r="W25" s="27" t="str">
        <f>_xlfn.IFNA(VLOOKUP($C25&amp;","&amp;W3,$C$34:$D$112,2,FALSE),"-1")</f>
        <v>-1</v>
      </c>
      <c r="X25" s="27" t="str">
        <f>_xlfn.IFNA(VLOOKUP($C25&amp;","&amp;X3,$C$34:$D$112,2,FALSE),"-1")</f>
        <v>-1</v>
      </c>
      <c r="Y25" s="27" t="str">
        <f>_xlfn.IFNA(VLOOKUP($C25&amp;","&amp;Y3,$C$34:$D$112,2,FALSE),"-1")</f>
        <v>-1</v>
      </c>
      <c r="Z25" s="27" t="str">
        <f>_xlfn.IFNA(VLOOKUP($C25&amp;","&amp;Z3,$C$34:$D$112,2,FALSE),"-1")</f>
        <v>-1</v>
      </c>
      <c r="AA25" s="27" t="str">
        <f>_xlfn.IFNA(VLOOKUP($C25&amp;","&amp;AA3,$C$34:$D$112,2,FALSE),"-1")</f>
        <v>-1</v>
      </c>
      <c r="AB25" s="50" t="str">
        <f>_xlfn.IFNA(VLOOKUP($C25&amp;","&amp;AB3,$C$34:$D$112,2,FALSE),"-1")</f>
        <v>-1</v>
      </c>
    </row>
    <row r="26" ht="20" customHeight="1" spans="1:28">
      <c r="A26" s="16">
        <v>3</v>
      </c>
      <c r="B26" s="15">
        <f t="shared" si="1"/>
        <v>22</v>
      </c>
      <c r="C26" s="19" t="s">
        <v>941</v>
      </c>
      <c r="D26" s="18" t="str">
        <f t="shared" si="2"/>
        <v>16</v>
      </c>
      <c r="E26" s="44" t="str">
        <f>_xlfn.IFNA(VLOOKUP($C26&amp;","&amp;E3,$C$34:$D$112,2,FALSE),"-1")</f>
        <v>-1</v>
      </c>
      <c r="F26" s="27" t="str">
        <f>_xlfn.IFNA(VLOOKUP($C26&amp;","&amp;F3,$C$34:$D$112,2,FALSE),"-1")</f>
        <v>-1</v>
      </c>
      <c r="G26" s="27" t="str">
        <f>_xlfn.IFNA(VLOOKUP($C26&amp;","&amp;G3,$C$34:$D$112,2,FALSE),"-1")</f>
        <v>-1</v>
      </c>
      <c r="H26" s="27" t="str">
        <f>_xlfn.IFNA(VLOOKUP($C26&amp;","&amp;H3,$C$34:$D$112,2,FALSE),"-1")</f>
        <v>-1</v>
      </c>
      <c r="I26" s="27" t="str">
        <f>_xlfn.IFNA(VLOOKUP($C26&amp;","&amp;I3,$C$34:$D$112,2,FALSE),"-1")</f>
        <v>-1</v>
      </c>
      <c r="J26" s="27" t="str">
        <f>_xlfn.IFNA(VLOOKUP($C26&amp;","&amp;J3,$C$34:$D$112,2,FALSE),"-1")</f>
        <v>-1</v>
      </c>
      <c r="K26" s="27" t="str">
        <f>_xlfn.IFNA(VLOOKUP($C26&amp;","&amp;K3,$C$34:$D$112,2,FALSE),"-1")</f>
        <v>-1</v>
      </c>
      <c r="L26" s="27" t="str">
        <f>_xlfn.IFNA(VLOOKUP($C26&amp;","&amp;L3,$C$34:$D$112,2,FALSE),"-1")</f>
        <v>-1</v>
      </c>
      <c r="M26" s="27" t="str">
        <f>_xlfn.IFNA(VLOOKUP($C26&amp;","&amp;M3,$C$34:$D$112,2,FALSE),"-1")</f>
        <v>-1</v>
      </c>
      <c r="N26" s="27" t="str">
        <f>_xlfn.IFNA(VLOOKUP($C26&amp;","&amp;N3,$C$34:$D$112,2,FALSE),"-1")</f>
        <v>65</v>
      </c>
      <c r="O26" s="27" t="str">
        <f>_xlfn.IFNA(VLOOKUP($C26&amp;","&amp;O3,$C$34:$D$112,2,FALSE),"-1")</f>
        <v>-1</v>
      </c>
      <c r="P26" s="27" t="str">
        <f>_xlfn.IFNA(VLOOKUP($C26&amp;","&amp;P3,$C$34:$D$112,2,FALSE),"-1")</f>
        <v>-1</v>
      </c>
      <c r="Q26" s="27" t="str">
        <f>_xlfn.IFNA(VLOOKUP($C26&amp;","&amp;Q3,$C$34:$D$112,2,FALSE),"-1")</f>
        <v>-1</v>
      </c>
      <c r="R26" s="27" t="str">
        <f>_xlfn.IFNA(VLOOKUP($C26&amp;","&amp;R3,$C$34:$D$112,2,FALSE),"-1")</f>
        <v>-1</v>
      </c>
      <c r="S26" s="27" t="str">
        <f>_xlfn.IFNA(VLOOKUP($C26&amp;","&amp;S3,$C$34:$D$112,2,FALSE),"-1")</f>
        <v>-1</v>
      </c>
      <c r="T26" s="27" t="str">
        <f>_xlfn.IFNA(VLOOKUP($C26&amp;","&amp;T3,$C$34:$D$112,2,FALSE),"-1")</f>
        <v>-1</v>
      </c>
      <c r="U26" s="27" t="str">
        <f>_xlfn.IFNA(VLOOKUP($C26&amp;","&amp;U3,$C$34:$D$112,2,FALSE),"-1")</f>
        <v>-1</v>
      </c>
      <c r="V26" s="27" t="str">
        <f>_xlfn.IFNA(VLOOKUP($C26&amp;","&amp;V3,$C$34:$D$112,2,FALSE),"-1")</f>
        <v>-1</v>
      </c>
      <c r="W26" s="27" t="str">
        <f>_xlfn.IFNA(VLOOKUP($C26&amp;","&amp;W3,$C$34:$D$112,2,FALSE),"-1")</f>
        <v>-1</v>
      </c>
      <c r="X26" s="27" t="str">
        <f>_xlfn.IFNA(VLOOKUP($C26&amp;","&amp;X3,$C$34:$D$112,2,FALSE),"-1")</f>
        <v>-1</v>
      </c>
      <c r="Y26" s="27" t="str">
        <f>_xlfn.IFNA(VLOOKUP($C26&amp;","&amp;Y3,$C$34:$D$112,2,FALSE),"-1")</f>
        <v>-1</v>
      </c>
      <c r="Z26" s="27" t="str">
        <f>_xlfn.IFNA(VLOOKUP($C26&amp;","&amp;Z3,$C$34:$D$112,2,FALSE),"-1")</f>
        <v>-1</v>
      </c>
      <c r="AA26" s="27" t="str">
        <f>_xlfn.IFNA(VLOOKUP($C26&amp;","&amp;AA3,$C$34:$D$112,2,FALSE),"-1")</f>
        <v>-1</v>
      </c>
      <c r="AB26" s="50" t="str">
        <f>_xlfn.IFNA(VLOOKUP($C26&amp;","&amp;AB3,$C$34:$D$112,2,FALSE),"-1")</f>
        <v>-1</v>
      </c>
    </row>
    <row r="27" ht="20" customHeight="1" spans="1:28">
      <c r="A27" s="16">
        <v>3</v>
      </c>
      <c r="B27" s="15">
        <f t="shared" si="1"/>
        <v>23</v>
      </c>
      <c r="C27" s="19" t="s">
        <v>942</v>
      </c>
      <c r="D27" s="18" t="str">
        <f t="shared" si="2"/>
        <v>17</v>
      </c>
      <c r="E27" s="44" t="str">
        <f>_xlfn.IFNA(VLOOKUP($C27&amp;","&amp;E3,$C$34:$D$112,2,FALSE),"-1")</f>
        <v>-1</v>
      </c>
      <c r="F27" s="27" t="str">
        <f>_xlfn.IFNA(VLOOKUP($C27&amp;","&amp;F3,$C$34:$D$112,2,FALSE),"-1")</f>
        <v>-1</v>
      </c>
      <c r="G27" s="27" t="str">
        <f>_xlfn.IFNA(VLOOKUP($C27&amp;","&amp;G3,$C$34:$D$112,2,FALSE),"-1")</f>
        <v>-1</v>
      </c>
      <c r="H27" s="27" t="str">
        <f>_xlfn.IFNA(VLOOKUP($C27&amp;","&amp;H3,$C$34:$D$112,2,FALSE),"-1")</f>
        <v>-1</v>
      </c>
      <c r="I27" s="27" t="str">
        <f>_xlfn.IFNA(VLOOKUP($C27&amp;","&amp;I3,$C$34:$D$112,2,FALSE),"-1")</f>
        <v>-1</v>
      </c>
      <c r="J27" s="27" t="str">
        <f>_xlfn.IFNA(VLOOKUP($C27&amp;","&amp;J3,$C$34:$D$112,2,FALSE),"-1")</f>
        <v>-1</v>
      </c>
      <c r="K27" s="27" t="str">
        <f>_xlfn.IFNA(VLOOKUP($C27&amp;","&amp;K3,$C$34:$D$112,2,FALSE),"-1")</f>
        <v>-1</v>
      </c>
      <c r="L27" s="27" t="str">
        <f>_xlfn.IFNA(VLOOKUP($C27&amp;","&amp;L3,$C$34:$D$112,2,FALSE),"-1")</f>
        <v>-1</v>
      </c>
      <c r="M27" s="27" t="str">
        <f>_xlfn.IFNA(VLOOKUP($C27&amp;","&amp;M3,$C$34:$D$112,2,FALSE),"-1")</f>
        <v>-1</v>
      </c>
      <c r="N27" s="27" t="str">
        <f>_xlfn.IFNA(VLOOKUP($C27&amp;","&amp;N3,$C$34:$D$112,2,FALSE),"-1")</f>
        <v>66</v>
      </c>
      <c r="O27" s="27" t="str">
        <f>_xlfn.IFNA(VLOOKUP($C27&amp;","&amp;O3,$C$34:$D$112,2,FALSE),"-1")</f>
        <v>-1</v>
      </c>
      <c r="P27" s="27" t="str">
        <f>_xlfn.IFNA(VLOOKUP($C27&amp;","&amp;P3,$C$34:$D$112,2,FALSE),"-1")</f>
        <v>-1</v>
      </c>
      <c r="Q27" s="27" t="str">
        <f>_xlfn.IFNA(VLOOKUP($C27&amp;","&amp;Q3,$C$34:$D$112,2,FALSE),"-1")</f>
        <v>-1</v>
      </c>
      <c r="R27" s="27" t="str">
        <f>_xlfn.IFNA(VLOOKUP($C27&amp;","&amp;R3,$C$34:$D$112,2,FALSE),"-1")</f>
        <v>-1</v>
      </c>
      <c r="S27" s="27" t="str">
        <f>_xlfn.IFNA(VLOOKUP($C27&amp;","&amp;S3,$C$34:$D$112,2,FALSE),"-1")</f>
        <v>-1</v>
      </c>
      <c r="T27" s="27" t="str">
        <f>_xlfn.IFNA(VLOOKUP($C27&amp;","&amp;T3,$C$34:$D$112,2,FALSE),"-1")</f>
        <v>-1</v>
      </c>
      <c r="U27" s="27" t="str">
        <f>_xlfn.IFNA(VLOOKUP($C27&amp;","&amp;U3,$C$34:$D$112,2,FALSE),"-1")</f>
        <v>-1</v>
      </c>
      <c r="V27" s="27" t="str">
        <f>_xlfn.IFNA(VLOOKUP($C27&amp;","&amp;V3,$C$34:$D$112,2,FALSE),"-1")</f>
        <v>-1</v>
      </c>
      <c r="W27" s="27" t="str">
        <f>_xlfn.IFNA(VLOOKUP($C27&amp;","&amp;W3,$C$34:$D$112,2,FALSE),"-1")</f>
        <v>-1</v>
      </c>
      <c r="X27" s="27" t="str">
        <f>_xlfn.IFNA(VLOOKUP($C27&amp;","&amp;X3,$C$34:$D$112,2,FALSE),"-1")</f>
        <v>-1</v>
      </c>
      <c r="Y27" s="27" t="str">
        <f>_xlfn.IFNA(VLOOKUP($C27&amp;","&amp;Y3,$C$34:$D$112,2,FALSE),"-1")</f>
        <v>-1</v>
      </c>
      <c r="Z27" s="27" t="str">
        <f>_xlfn.IFNA(VLOOKUP($C27&amp;","&amp;Z3,$C$34:$D$112,2,FALSE),"-1")</f>
        <v>-1</v>
      </c>
      <c r="AA27" s="27" t="str">
        <f>_xlfn.IFNA(VLOOKUP($C27&amp;","&amp;AA3,$C$34:$D$112,2,FALSE),"-1")</f>
        <v>-1</v>
      </c>
      <c r="AB27" s="50" t="str">
        <f>_xlfn.IFNA(VLOOKUP($C27&amp;","&amp;AB3,$C$34:$D$112,2,FALSE),"-1")</f>
        <v>-1</v>
      </c>
    </row>
    <row r="28" ht="20" customHeight="1" spans="1:28">
      <c r="A28" s="16">
        <v>3</v>
      </c>
      <c r="B28" s="15">
        <f t="shared" si="1"/>
        <v>24</v>
      </c>
      <c r="C28" s="19" t="s">
        <v>943</v>
      </c>
      <c r="D28" s="18" t="str">
        <f t="shared" si="2"/>
        <v>18</v>
      </c>
      <c r="E28" s="44" t="str">
        <f>_xlfn.IFNA(VLOOKUP($C28&amp;","&amp;E3,$C$34:$D$112,2,FALSE),"-1")</f>
        <v>-1</v>
      </c>
      <c r="F28" s="27" t="str">
        <f>_xlfn.IFNA(VLOOKUP($C28&amp;","&amp;F3,$C$34:$D$112,2,FALSE),"-1")</f>
        <v>-1</v>
      </c>
      <c r="G28" s="27" t="str">
        <f>_xlfn.IFNA(VLOOKUP($C28&amp;","&amp;G3,$C$34:$D$112,2,FALSE),"-1")</f>
        <v>-1</v>
      </c>
      <c r="H28" s="27" t="str">
        <f>_xlfn.IFNA(VLOOKUP($C28&amp;","&amp;H3,$C$34:$D$112,2,FALSE),"-1")</f>
        <v>-1</v>
      </c>
      <c r="I28" s="27" t="str">
        <f>_xlfn.IFNA(VLOOKUP($C28&amp;","&amp;I3,$C$34:$D$112,2,FALSE),"-1")</f>
        <v>-1</v>
      </c>
      <c r="J28" s="27" t="str">
        <f>_xlfn.IFNA(VLOOKUP($C28&amp;","&amp;J3,$C$34:$D$112,2,FALSE),"-1")</f>
        <v>-1</v>
      </c>
      <c r="K28" s="27" t="str">
        <f>_xlfn.IFNA(VLOOKUP($C28&amp;","&amp;K3,$C$34:$D$112,2,FALSE),"-1")</f>
        <v>-1</v>
      </c>
      <c r="L28" s="27" t="str">
        <f>_xlfn.IFNA(VLOOKUP($C28&amp;","&amp;L3,$C$34:$D$112,2,FALSE),"-1")</f>
        <v>-1</v>
      </c>
      <c r="M28" s="27" t="str">
        <f>_xlfn.IFNA(VLOOKUP($C28&amp;","&amp;M3,$C$34:$D$112,2,FALSE),"-1")</f>
        <v>-1</v>
      </c>
      <c r="N28" s="27" t="str">
        <f>_xlfn.IFNA(VLOOKUP($C28&amp;","&amp;N3,$C$34:$D$112,2,FALSE),"-1")</f>
        <v>67</v>
      </c>
      <c r="O28" s="27" t="str">
        <f>_xlfn.IFNA(VLOOKUP($C28&amp;","&amp;O3,$C$34:$D$112,2,FALSE),"-1")</f>
        <v>-1</v>
      </c>
      <c r="P28" s="27" t="str">
        <f>_xlfn.IFNA(VLOOKUP($C28&amp;","&amp;P3,$C$34:$D$112,2,FALSE),"-1")</f>
        <v>-1</v>
      </c>
      <c r="Q28" s="27" t="str">
        <f>_xlfn.IFNA(VLOOKUP($C28&amp;","&amp;Q3,$C$34:$D$112,2,FALSE),"-1")</f>
        <v>-1</v>
      </c>
      <c r="R28" s="27" t="str">
        <f>_xlfn.IFNA(VLOOKUP($C28&amp;","&amp;R3,$C$34:$D$112,2,FALSE),"-1")</f>
        <v>-1</v>
      </c>
      <c r="S28" s="27" t="str">
        <f>_xlfn.IFNA(VLOOKUP($C28&amp;","&amp;S3,$C$34:$D$112,2,FALSE),"-1")</f>
        <v>-1</v>
      </c>
      <c r="T28" s="27" t="str">
        <f>_xlfn.IFNA(VLOOKUP($C28&amp;","&amp;T3,$C$34:$D$112,2,FALSE),"-1")</f>
        <v>-1</v>
      </c>
      <c r="U28" s="27" t="str">
        <f>_xlfn.IFNA(VLOOKUP($C28&amp;","&amp;U3,$C$34:$D$112,2,FALSE),"-1")</f>
        <v>-1</v>
      </c>
      <c r="V28" s="27" t="str">
        <f>_xlfn.IFNA(VLOOKUP($C28&amp;","&amp;V3,$C$34:$D$112,2,FALSE),"-1")</f>
        <v>-1</v>
      </c>
      <c r="W28" s="27" t="str">
        <f>_xlfn.IFNA(VLOOKUP($C28&amp;","&amp;W3,$C$34:$D$112,2,FALSE),"-1")</f>
        <v>-1</v>
      </c>
      <c r="X28" s="27" t="str">
        <f>_xlfn.IFNA(VLOOKUP($C28&amp;","&amp;X3,$C$34:$D$112,2,FALSE),"-1")</f>
        <v>-1</v>
      </c>
      <c r="Y28" s="27" t="str">
        <f>_xlfn.IFNA(VLOOKUP($C28&amp;","&amp;Y3,$C$34:$D$112,2,FALSE),"-1")</f>
        <v>-1</v>
      </c>
      <c r="Z28" s="27" t="str">
        <f>_xlfn.IFNA(VLOOKUP($C28&amp;","&amp;Z3,$C$34:$D$112,2,FALSE),"-1")</f>
        <v>-1</v>
      </c>
      <c r="AA28" s="27" t="str">
        <f>_xlfn.IFNA(VLOOKUP($C28&amp;","&amp;AA3,$C$34:$D$112,2,FALSE),"-1")</f>
        <v>-1</v>
      </c>
      <c r="AB28" s="50" t="str">
        <f>_xlfn.IFNA(VLOOKUP($C28&amp;","&amp;AB3,$C$34:$D$112,2,FALSE),"-1")</f>
        <v>-1</v>
      </c>
    </row>
    <row r="29" ht="20" customHeight="1" spans="1:28">
      <c r="A29" s="16">
        <v>3</v>
      </c>
      <c r="B29" s="15">
        <f t="shared" si="1"/>
        <v>25</v>
      </c>
      <c r="C29" s="19" t="s">
        <v>944</v>
      </c>
      <c r="D29" s="18" t="str">
        <f t="shared" si="2"/>
        <v>19</v>
      </c>
      <c r="E29" s="44" t="str">
        <f>_xlfn.IFNA(VLOOKUP($C29&amp;","&amp;E3,$C$34:$D$112,2,FALSE),"-1")</f>
        <v>-1</v>
      </c>
      <c r="F29" s="27" t="str">
        <f>_xlfn.IFNA(VLOOKUP($C29&amp;","&amp;F3,$C$34:$D$112,2,FALSE),"-1")</f>
        <v>-1</v>
      </c>
      <c r="G29" s="27" t="str">
        <f>_xlfn.IFNA(VLOOKUP($C29&amp;","&amp;G3,$C$34:$D$112,2,FALSE),"-1")</f>
        <v>-1</v>
      </c>
      <c r="H29" s="27" t="str">
        <f>_xlfn.IFNA(VLOOKUP($C29&amp;","&amp;H3,$C$34:$D$112,2,FALSE),"-1")</f>
        <v>-1</v>
      </c>
      <c r="I29" s="27" t="str">
        <f>_xlfn.IFNA(VLOOKUP($C29&amp;","&amp;I3,$C$34:$D$112,2,FALSE),"-1")</f>
        <v>-1</v>
      </c>
      <c r="J29" s="27" t="str">
        <f>_xlfn.IFNA(VLOOKUP($C29&amp;","&amp;J3,$C$34:$D$112,2,FALSE),"-1")</f>
        <v>-1</v>
      </c>
      <c r="K29" s="27" t="str">
        <f>_xlfn.IFNA(VLOOKUP($C29&amp;","&amp;K3,$C$34:$D$112,2,FALSE),"-1")</f>
        <v>-1</v>
      </c>
      <c r="L29" s="27" t="str">
        <f>_xlfn.IFNA(VLOOKUP($C29&amp;","&amp;L3,$C$34:$D$112,2,FALSE),"-1")</f>
        <v>-1</v>
      </c>
      <c r="M29" s="27" t="str">
        <f>_xlfn.IFNA(VLOOKUP($C29&amp;","&amp;M3,$C$34:$D$112,2,FALSE),"-1")</f>
        <v>-1</v>
      </c>
      <c r="N29" s="27" t="str">
        <f>_xlfn.IFNA(VLOOKUP($C29&amp;","&amp;N3,$C$34:$D$112,2,FALSE),"-1")</f>
        <v>68</v>
      </c>
      <c r="O29" s="27" t="str">
        <f>_xlfn.IFNA(VLOOKUP($C29&amp;","&amp;O3,$C$34:$D$112,2,FALSE),"-1")</f>
        <v>-1</v>
      </c>
      <c r="P29" s="27" t="str">
        <f>_xlfn.IFNA(VLOOKUP($C29&amp;","&amp;P3,$C$34:$D$112,2,FALSE),"-1")</f>
        <v>-1</v>
      </c>
      <c r="Q29" s="27" t="str">
        <f>_xlfn.IFNA(VLOOKUP($C29&amp;","&amp;Q3,$C$34:$D$112,2,FALSE),"-1")</f>
        <v>-1</v>
      </c>
      <c r="R29" s="27" t="str">
        <f>_xlfn.IFNA(VLOOKUP($C29&amp;","&amp;R3,$C$34:$D$112,2,FALSE),"-1")</f>
        <v>-1</v>
      </c>
      <c r="S29" s="27" t="str">
        <f>_xlfn.IFNA(VLOOKUP($C29&amp;","&amp;S3,$C$34:$D$112,2,FALSE),"-1")</f>
        <v>-1</v>
      </c>
      <c r="T29" s="27" t="str">
        <f>_xlfn.IFNA(VLOOKUP($C29&amp;","&amp;T3,$C$34:$D$112,2,FALSE),"-1")</f>
        <v>-1</v>
      </c>
      <c r="U29" s="27" t="str">
        <f>_xlfn.IFNA(VLOOKUP($C29&amp;","&amp;U3,$C$34:$D$112,2,FALSE),"-1")</f>
        <v>-1</v>
      </c>
      <c r="V29" s="27" t="str">
        <f>_xlfn.IFNA(VLOOKUP($C29&amp;","&amp;V3,$C$34:$D$112,2,FALSE),"-1")</f>
        <v>-1</v>
      </c>
      <c r="W29" s="27" t="str">
        <f>_xlfn.IFNA(VLOOKUP($C29&amp;","&amp;W3,$C$34:$D$112,2,FALSE),"-1")</f>
        <v>-1</v>
      </c>
      <c r="X29" s="27" t="str">
        <f>_xlfn.IFNA(VLOOKUP($C29&amp;","&amp;X3,$C$34:$D$112,2,FALSE),"-1")</f>
        <v>-1</v>
      </c>
      <c r="Y29" s="27" t="str">
        <f>_xlfn.IFNA(VLOOKUP($C29&amp;","&amp;Y3,$C$34:$D$112,2,FALSE),"-1")</f>
        <v>-1</v>
      </c>
      <c r="Z29" s="27" t="str">
        <f>_xlfn.IFNA(VLOOKUP($C29&amp;","&amp;Z3,$C$34:$D$112,2,FALSE),"-1")</f>
        <v>-1</v>
      </c>
      <c r="AA29" s="27" t="str">
        <f>_xlfn.IFNA(VLOOKUP($C29&amp;","&amp;AA3,$C$34:$D$112,2,FALSE),"-1")</f>
        <v>-1</v>
      </c>
      <c r="AB29" s="50" t="str">
        <f>_xlfn.IFNA(VLOOKUP($C29&amp;","&amp;AB3,$C$34:$D$112,2,FALSE),"-1")</f>
        <v>-1</v>
      </c>
    </row>
    <row r="30" ht="20" customHeight="1" spans="1:28">
      <c r="A30" s="16">
        <v>3</v>
      </c>
      <c r="B30" s="15">
        <f t="shared" si="1"/>
        <v>26</v>
      </c>
      <c r="C30" s="19" t="s">
        <v>945</v>
      </c>
      <c r="D30" s="18" t="str">
        <f t="shared" si="2"/>
        <v>1A</v>
      </c>
      <c r="E30" s="44" t="str">
        <f>_xlfn.IFNA(VLOOKUP($C30&amp;","&amp;E3,$C$34:$D$112,2,FALSE),"-1")</f>
        <v>-1</v>
      </c>
      <c r="F30" s="27" t="str">
        <f>_xlfn.IFNA(VLOOKUP($C30&amp;","&amp;F3,$C$34:$D$112,2,FALSE),"-1")</f>
        <v>-1</v>
      </c>
      <c r="G30" s="27" t="str">
        <f>_xlfn.IFNA(VLOOKUP($C30&amp;","&amp;G3,$C$34:$D$112,2,FALSE),"-1")</f>
        <v>-1</v>
      </c>
      <c r="H30" s="27" t="str">
        <f>_xlfn.IFNA(VLOOKUP($C30&amp;","&amp;H3,$C$34:$D$112,2,FALSE),"-1")</f>
        <v>-1</v>
      </c>
      <c r="I30" s="27" t="str">
        <f>_xlfn.IFNA(VLOOKUP($C30&amp;","&amp;I3,$C$34:$D$112,2,FALSE),"-1")</f>
        <v>-1</v>
      </c>
      <c r="J30" s="27" t="str">
        <f>_xlfn.IFNA(VLOOKUP($C30&amp;","&amp;J3,$C$34:$D$112,2,FALSE),"-1")</f>
        <v>-1</v>
      </c>
      <c r="K30" s="27" t="str">
        <f>_xlfn.IFNA(VLOOKUP($C30&amp;","&amp;K3,$C$34:$D$112,2,FALSE),"-1")</f>
        <v>-1</v>
      </c>
      <c r="L30" s="27" t="str">
        <f>_xlfn.IFNA(VLOOKUP($C30&amp;","&amp;L3,$C$34:$D$112,2,FALSE),"-1")</f>
        <v>-1</v>
      </c>
      <c r="M30" s="27" t="str">
        <f>_xlfn.IFNA(VLOOKUP($C30&amp;","&amp;M3,$C$34:$D$112,2,FALSE),"-1")</f>
        <v>-1</v>
      </c>
      <c r="N30" s="27" t="str">
        <f>_xlfn.IFNA(VLOOKUP($C30&amp;","&amp;N3,$C$34:$D$112,2,FALSE),"-1")</f>
        <v>69</v>
      </c>
      <c r="O30" s="27" t="str">
        <f>_xlfn.IFNA(VLOOKUP($C30&amp;","&amp;O3,$C$34:$D$112,2,FALSE),"-1")</f>
        <v>-1</v>
      </c>
      <c r="P30" s="27" t="str">
        <f>_xlfn.IFNA(VLOOKUP($C30&amp;","&amp;P3,$C$34:$D$112,2,FALSE),"-1")</f>
        <v>-1</v>
      </c>
      <c r="Q30" s="27" t="str">
        <f>_xlfn.IFNA(VLOOKUP($C30&amp;","&amp;Q3,$C$34:$D$112,2,FALSE),"-1")</f>
        <v>-1</v>
      </c>
      <c r="R30" s="27" t="str">
        <f>_xlfn.IFNA(VLOOKUP($C30&amp;","&amp;R3,$C$34:$D$112,2,FALSE),"-1")</f>
        <v>-1</v>
      </c>
      <c r="S30" s="27" t="str">
        <f>_xlfn.IFNA(VLOOKUP($C30&amp;","&amp;S3,$C$34:$D$112,2,FALSE),"-1")</f>
        <v>-1</v>
      </c>
      <c r="T30" s="27" t="str">
        <f>_xlfn.IFNA(VLOOKUP($C30&amp;","&amp;T3,$C$34:$D$112,2,FALSE),"-1")</f>
        <v>-1</v>
      </c>
      <c r="U30" s="27" t="str">
        <f>_xlfn.IFNA(VLOOKUP($C30&amp;","&amp;U3,$C$34:$D$112,2,FALSE),"-1")</f>
        <v>-1</v>
      </c>
      <c r="V30" s="27" t="str">
        <f>_xlfn.IFNA(VLOOKUP($C30&amp;","&amp;V3,$C$34:$D$112,2,FALSE),"-1")</f>
        <v>-1</v>
      </c>
      <c r="W30" s="27" t="str">
        <f>_xlfn.IFNA(VLOOKUP($C30&amp;","&amp;W3,$C$34:$D$112,2,FALSE),"-1")</f>
        <v>-1</v>
      </c>
      <c r="X30" s="27" t="str">
        <f>_xlfn.IFNA(VLOOKUP($C30&amp;","&amp;X3,$C$34:$D$112,2,FALSE),"-1")</f>
        <v>-1</v>
      </c>
      <c r="Y30" s="27" t="str">
        <f>_xlfn.IFNA(VLOOKUP($C30&amp;","&amp;Y3,$C$34:$D$112,2,FALSE),"-1")</f>
        <v>-1</v>
      </c>
      <c r="Z30" s="27" t="str">
        <f>_xlfn.IFNA(VLOOKUP($C30&amp;","&amp;Z3,$C$34:$D$112,2,FALSE),"-1")</f>
        <v>-1</v>
      </c>
      <c r="AA30" s="27" t="str">
        <f>_xlfn.IFNA(VLOOKUP($C30&amp;","&amp;AA3,$C$34:$D$112,2,FALSE),"-1")</f>
        <v>-1</v>
      </c>
      <c r="AB30" s="50" t="str">
        <f>_xlfn.IFNA(VLOOKUP($C30&amp;","&amp;AB3,$C$34:$D$112,2,FALSE),"-1")</f>
        <v>-1</v>
      </c>
    </row>
    <row r="31" ht="20" customHeight="1" spans="1:28">
      <c r="A31" s="16">
        <v>3</v>
      </c>
      <c r="B31" s="15">
        <f t="shared" si="1"/>
        <v>27</v>
      </c>
      <c r="C31" s="19" t="s">
        <v>946</v>
      </c>
      <c r="D31" s="18" t="str">
        <f t="shared" si="2"/>
        <v>1B</v>
      </c>
      <c r="E31" s="44" t="str">
        <f>_xlfn.IFNA(VLOOKUP($C31&amp;","&amp;E3,$C$34:$D$112,2,FALSE),"-1")</f>
        <v>-1</v>
      </c>
      <c r="F31" s="27" t="str">
        <f>_xlfn.IFNA(VLOOKUP($C31&amp;","&amp;F3,$C$34:$D$112,2,FALSE),"-1")</f>
        <v>-1</v>
      </c>
      <c r="G31" s="27" t="str">
        <f>_xlfn.IFNA(VLOOKUP($C31&amp;","&amp;G3,$C$34:$D$112,2,FALSE),"-1")</f>
        <v>-1</v>
      </c>
      <c r="H31" s="27" t="str">
        <f>_xlfn.IFNA(VLOOKUP($C31&amp;","&amp;H3,$C$34:$D$112,2,FALSE),"-1")</f>
        <v>-1</v>
      </c>
      <c r="I31" s="27" t="str">
        <f>_xlfn.IFNA(VLOOKUP($C31&amp;","&amp;I3,$C$34:$D$112,2,FALSE),"-1")</f>
        <v>-1</v>
      </c>
      <c r="J31" s="27" t="str">
        <f>_xlfn.IFNA(VLOOKUP($C31&amp;","&amp;J3,$C$34:$D$112,2,FALSE),"-1")</f>
        <v>-1</v>
      </c>
      <c r="K31" s="27" t="str">
        <f>_xlfn.IFNA(VLOOKUP($C31&amp;","&amp;K3,$C$34:$D$112,2,FALSE),"-1")</f>
        <v>-1</v>
      </c>
      <c r="L31" s="27" t="str">
        <f>_xlfn.IFNA(VLOOKUP($C31&amp;","&amp;L3,$C$34:$D$112,2,FALSE),"-1")</f>
        <v>-1</v>
      </c>
      <c r="M31" s="27" t="str">
        <f>_xlfn.IFNA(VLOOKUP($C31&amp;","&amp;M3,$C$34:$D$112,2,FALSE),"-1")</f>
        <v>-1</v>
      </c>
      <c r="N31" s="27" t="str">
        <f>_xlfn.IFNA(VLOOKUP($C31&amp;","&amp;N3,$C$34:$D$112,2,FALSE),"-1")</f>
        <v>6A</v>
      </c>
      <c r="O31" s="27" t="str">
        <f>_xlfn.IFNA(VLOOKUP($C31&amp;","&amp;O3,$C$34:$D$112,2,FALSE),"-1")</f>
        <v>-1</v>
      </c>
      <c r="P31" s="27" t="str">
        <f>_xlfn.IFNA(VLOOKUP($C31&amp;","&amp;P3,$C$34:$D$112,2,FALSE),"-1")</f>
        <v>-1</v>
      </c>
      <c r="Q31" s="27" t="str">
        <f>_xlfn.IFNA(VLOOKUP($C31&amp;","&amp;Q3,$C$34:$D$112,2,FALSE),"-1")</f>
        <v>-1</v>
      </c>
      <c r="R31" s="27" t="str">
        <f>_xlfn.IFNA(VLOOKUP($C31&amp;","&amp;R3,$C$34:$D$112,2,FALSE),"-1")</f>
        <v>-1</v>
      </c>
      <c r="S31" s="27" t="str">
        <f>_xlfn.IFNA(VLOOKUP($C31&amp;","&amp;S3,$C$34:$D$112,2,FALSE),"-1")</f>
        <v>-1</v>
      </c>
      <c r="T31" s="27" t="str">
        <f>_xlfn.IFNA(VLOOKUP($C31&amp;","&amp;T3,$C$34:$D$112,2,FALSE),"-1")</f>
        <v>-1</v>
      </c>
      <c r="U31" s="27" t="str">
        <f>_xlfn.IFNA(VLOOKUP($C31&amp;","&amp;U3,$C$34:$D$112,2,FALSE),"-1")</f>
        <v>-1</v>
      </c>
      <c r="V31" s="27" t="str">
        <f>_xlfn.IFNA(VLOOKUP($C31&amp;","&amp;V3,$C$34:$D$112,2,FALSE),"-1")</f>
        <v>-1</v>
      </c>
      <c r="W31" s="27" t="str">
        <f>_xlfn.IFNA(VLOOKUP($C31&amp;","&amp;W3,$C$34:$D$112,2,FALSE),"-1")</f>
        <v>-1</v>
      </c>
      <c r="X31" s="27" t="str">
        <f>_xlfn.IFNA(VLOOKUP($C31&amp;","&amp;X3,$C$34:$D$112,2,FALSE),"-1")</f>
        <v>-1</v>
      </c>
      <c r="Y31" s="27" t="str">
        <f>_xlfn.IFNA(VLOOKUP($C31&amp;","&amp;Y3,$C$34:$D$112,2,FALSE),"-1")</f>
        <v>-1</v>
      </c>
      <c r="Z31" s="27" t="str">
        <f>_xlfn.IFNA(VLOOKUP($C31&amp;","&amp;Z3,$C$34:$D$112,2,FALSE),"-1")</f>
        <v>-1</v>
      </c>
      <c r="AA31" s="27" t="str">
        <f>_xlfn.IFNA(VLOOKUP($C31&amp;","&amp;AA3,$C$34:$D$112,2,FALSE),"-1")</f>
        <v>-1</v>
      </c>
      <c r="AB31" s="50" t="str">
        <f>_xlfn.IFNA(VLOOKUP($C31&amp;","&amp;AB3,$C$34:$D$112,2,FALSE),"-1")</f>
        <v>-1</v>
      </c>
    </row>
    <row r="32" ht="20" customHeight="1" spans="1:28">
      <c r="A32" s="16">
        <v>3</v>
      </c>
      <c r="B32" s="15">
        <f t="shared" si="1"/>
        <v>28</v>
      </c>
      <c r="C32" s="19" t="s">
        <v>947</v>
      </c>
      <c r="D32" s="18" t="str">
        <f t="shared" si="2"/>
        <v>1C</v>
      </c>
      <c r="E32" s="44" t="str">
        <f>_xlfn.IFNA(VLOOKUP($C32&amp;","&amp;E3,$C$34:$D$112,2,FALSE),"-1")</f>
        <v>-1</v>
      </c>
      <c r="F32" s="27" t="str">
        <f>_xlfn.IFNA(VLOOKUP($C32&amp;","&amp;F3,$C$34:$D$112,2,FALSE),"-1")</f>
        <v>-1</v>
      </c>
      <c r="G32" s="27" t="str">
        <f>_xlfn.IFNA(VLOOKUP($C32&amp;","&amp;G3,$C$34:$D$112,2,FALSE),"-1")</f>
        <v>-1</v>
      </c>
      <c r="H32" s="27" t="str">
        <f>_xlfn.IFNA(VLOOKUP($C32&amp;","&amp;H3,$C$34:$D$112,2,FALSE),"-1")</f>
        <v>-1</v>
      </c>
      <c r="I32" s="27" t="str">
        <f>_xlfn.IFNA(VLOOKUP($C32&amp;","&amp;I3,$C$34:$D$112,2,FALSE),"-1")</f>
        <v>-1</v>
      </c>
      <c r="J32" s="27" t="str">
        <f>_xlfn.IFNA(VLOOKUP($C32&amp;","&amp;J3,$C$34:$D$112,2,FALSE),"-1")</f>
        <v>-1</v>
      </c>
      <c r="K32" s="27" t="str">
        <f>_xlfn.IFNA(VLOOKUP($C32&amp;","&amp;K3,$C$34:$D$112,2,FALSE),"-1")</f>
        <v>-1</v>
      </c>
      <c r="L32" s="27" t="str">
        <f>_xlfn.IFNA(VLOOKUP($C32&amp;","&amp;L3,$C$34:$D$112,2,FALSE),"-1")</f>
        <v>-1</v>
      </c>
      <c r="M32" s="27" t="str">
        <f>_xlfn.IFNA(VLOOKUP($C32&amp;","&amp;M3,$C$34:$D$112,2,FALSE),"-1")</f>
        <v>-1</v>
      </c>
      <c r="N32" s="27" t="str">
        <f>_xlfn.IFNA(VLOOKUP($C32&amp;","&amp;N3,$C$34:$D$112,2,FALSE),"-1")</f>
        <v>6B</v>
      </c>
      <c r="O32" s="27" t="str">
        <f>_xlfn.IFNA(VLOOKUP($C32&amp;","&amp;O3,$C$34:$D$112,2,FALSE),"-1")</f>
        <v>-1</v>
      </c>
      <c r="P32" s="27" t="str">
        <f>_xlfn.IFNA(VLOOKUP($C32&amp;","&amp;P3,$C$34:$D$112,2,FALSE),"-1")</f>
        <v>-1</v>
      </c>
      <c r="Q32" s="27" t="str">
        <f>_xlfn.IFNA(VLOOKUP($C32&amp;","&amp;Q3,$C$34:$D$112,2,FALSE),"-1")</f>
        <v>-1</v>
      </c>
      <c r="R32" s="27" t="str">
        <f>_xlfn.IFNA(VLOOKUP($C32&amp;","&amp;R3,$C$34:$D$112,2,FALSE),"-1")</f>
        <v>-1</v>
      </c>
      <c r="S32" s="27" t="str">
        <f>_xlfn.IFNA(VLOOKUP($C32&amp;","&amp;S3,$C$34:$D$112,2,FALSE),"-1")</f>
        <v>-1</v>
      </c>
      <c r="T32" s="27" t="str">
        <f>_xlfn.IFNA(VLOOKUP($C32&amp;","&amp;T3,$C$34:$D$112,2,FALSE),"-1")</f>
        <v>-1</v>
      </c>
      <c r="U32" s="27" t="str">
        <f>_xlfn.IFNA(VLOOKUP($C32&amp;","&amp;U3,$C$34:$D$112,2,FALSE),"-1")</f>
        <v>-1</v>
      </c>
      <c r="V32" s="27" t="str">
        <f>_xlfn.IFNA(VLOOKUP($C32&amp;","&amp;V3,$C$34:$D$112,2,FALSE),"-1")</f>
        <v>-1</v>
      </c>
      <c r="W32" s="27" t="str">
        <f>_xlfn.IFNA(VLOOKUP($C32&amp;","&amp;W3,$C$34:$D$112,2,FALSE),"-1")</f>
        <v>-1</v>
      </c>
      <c r="X32" s="27" t="str">
        <f>_xlfn.IFNA(VLOOKUP($C32&amp;","&amp;X3,$C$34:$D$112,2,FALSE),"-1")</f>
        <v>-1</v>
      </c>
      <c r="Y32" s="27" t="str">
        <f>_xlfn.IFNA(VLOOKUP($C32&amp;","&amp;Y3,$C$34:$D$112,2,FALSE),"-1")</f>
        <v>-1</v>
      </c>
      <c r="Z32" s="27" t="str">
        <f>_xlfn.IFNA(VLOOKUP($C32&amp;","&amp;Z3,$C$34:$D$112,2,FALSE),"-1")</f>
        <v>-1</v>
      </c>
      <c r="AA32" s="27" t="str">
        <f>_xlfn.IFNA(VLOOKUP($C32&amp;","&amp;AA3,$C$34:$D$112,2,FALSE),"-1")</f>
        <v>-1</v>
      </c>
      <c r="AB32" s="50" t="str">
        <f>_xlfn.IFNA(VLOOKUP($C32&amp;","&amp;AB3,$C$34:$D$112,2,FALSE),"-1")</f>
        <v>-1</v>
      </c>
    </row>
    <row r="33" ht="20" customHeight="1" spans="1:28">
      <c r="A33" s="16">
        <v>3</v>
      </c>
      <c r="B33" s="15">
        <f t="shared" si="1"/>
        <v>29</v>
      </c>
      <c r="C33" s="20" t="s">
        <v>948</v>
      </c>
      <c r="D33" s="18" t="str">
        <f t="shared" si="2"/>
        <v>1D</v>
      </c>
      <c r="E33" s="45" t="str">
        <f>_xlfn.IFNA(VLOOKUP($C33&amp;","&amp;E3,$C$34:$D$112,2,FALSE),"-1")</f>
        <v>-1</v>
      </c>
      <c r="F33" s="28" t="str">
        <f>_xlfn.IFNA(VLOOKUP($C33&amp;","&amp;F3,$C$34:$D$112,2,FALSE),"-1")</f>
        <v>-1</v>
      </c>
      <c r="G33" s="28" t="str">
        <f>_xlfn.IFNA(VLOOKUP($C33&amp;","&amp;G3,$C$34:$D$112,2,FALSE),"-1")</f>
        <v>-1</v>
      </c>
      <c r="H33" s="28" t="str">
        <f>_xlfn.IFNA(VLOOKUP($C33&amp;","&amp;H3,$C$34:$D$112,2,FALSE),"-1")</f>
        <v>-1</v>
      </c>
      <c r="I33" s="28" t="str">
        <f>_xlfn.IFNA(VLOOKUP($C33&amp;","&amp;I3,$C$34:$D$112,2,FALSE),"-1")</f>
        <v>-1</v>
      </c>
      <c r="J33" s="28" t="str">
        <f>_xlfn.IFNA(VLOOKUP($C33&amp;","&amp;J3,$C$34:$D$112,2,FALSE),"-1")</f>
        <v>-1</v>
      </c>
      <c r="K33" s="28" t="str">
        <f>_xlfn.IFNA(VLOOKUP($C33&amp;","&amp;K3,$C$34:$D$112,2,FALSE),"-1")</f>
        <v>-1</v>
      </c>
      <c r="L33" s="28" t="str">
        <f>_xlfn.IFNA(VLOOKUP($C33&amp;","&amp;L3,$C$34:$D$112,2,FALSE),"-1")</f>
        <v>-1</v>
      </c>
      <c r="M33" s="28" t="str">
        <f>_xlfn.IFNA(VLOOKUP($C33&amp;","&amp;M3,$C$34:$D$112,2,FALSE),"-1")</f>
        <v>-1</v>
      </c>
      <c r="N33" s="28" t="str">
        <f>_xlfn.IFNA(VLOOKUP($C33&amp;","&amp;N3,$C$34:$D$112,2,FALSE),"-1")</f>
        <v>6C</v>
      </c>
      <c r="O33" s="28" t="str">
        <f>_xlfn.IFNA(VLOOKUP($C33&amp;","&amp;O3,$C$34:$D$112,2,FALSE),"-1")</f>
        <v>-1</v>
      </c>
      <c r="P33" s="28" t="str">
        <f>_xlfn.IFNA(VLOOKUP($C33&amp;","&amp;P3,$C$34:$D$112,2,FALSE),"-1")</f>
        <v>-1</v>
      </c>
      <c r="Q33" s="28" t="str">
        <f>_xlfn.IFNA(VLOOKUP($C33&amp;","&amp;Q3,$C$34:$D$112,2,FALSE),"-1")</f>
        <v>-1</v>
      </c>
      <c r="R33" s="28" t="str">
        <f>_xlfn.IFNA(VLOOKUP($C33&amp;","&amp;R3,$C$34:$D$112,2,FALSE),"-1")</f>
        <v>-1</v>
      </c>
      <c r="S33" s="28" t="str">
        <f>_xlfn.IFNA(VLOOKUP($C33&amp;","&amp;S3,$C$34:$D$112,2,FALSE),"-1")</f>
        <v>-1</v>
      </c>
      <c r="T33" s="28" t="str">
        <f>_xlfn.IFNA(VLOOKUP($C33&amp;","&amp;T3,$C$34:$D$112,2,FALSE),"-1")</f>
        <v>-1</v>
      </c>
      <c r="U33" s="28" t="str">
        <f>_xlfn.IFNA(VLOOKUP($C33&amp;","&amp;U3,$C$34:$D$112,2,FALSE),"-1")</f>
        <v>-1</v>
      </c>
      <c r="V33" s="28" t="str">
        <f>_xlfn.IFNA(VLOOKUP($C33&amp;","&amp;V3,$C$34:$D$112,2,FALSE),"-1")</f>
        <v>-1</v>
      </c>
      <c r="W33" s="28" t="str">
        <f>_xlfn.IFNA(VLOOKUP($C33&amp;","&amp;W3,$C$34:$D$112,2,FALSE),"-1")</f>
        <v>-1</v>
      </c>
      <c r="X33" s="28" t="str">
        <f>_xlfn.IFNA(VLOOKUP($C33&amp;","&amp;X3,$C$34:$D$112,2,FALSE),"-1")</f>
        <v>-1</v>
      </c>
      <c r="Y33" s="28" t="str">
        <f>_xlfn.IFNA(VLOOKUP($C33&amp;","&amp;Y3,$C$34:$D$112,2,FALSE),"-1")</f>
        <v>-1</v>
      </c>
      <c r="Z33" s="28" t="str">
        <f>_xlfn.IFNA(VLOOKUP($C33&amp;","&amp;Z3,$C$34:$D$112,2,FALSE),"-1")</f>
        <v>-1</v>
      </c>
      <c r="AA33" s="27" t="str">
        <f>_xlfn.IFNA(VLOOKUP($C33&amp;","&amp;AA3,$C$34:$D$112,2,FALSE),"-1")</f>
        <v>-1</v>
      </c>
      <c r="AB33" s="50" t="str">
        <f>_xlfn.IFNA(VLOOKUP($C33&amp;","&amp;AB3,$C$34:$D$112,2,FALSE),"-1")</f>
        <v>-1</v>
      </c>
    </row>
    <row r="34" ht="20" customHeight="1" spans="1:28">
      <c r="A34" s="16">
        <v>1</v>
      </c>
      <c r="B34" s="21">
        <f t="shared" si="1"/>
        <v>30</v>
      </c>
      <c r="C34" s="22" t="s">
        <v>949</v>
      </c>
      <c r="D34" s="23" t="str">
        <f t="shared" si="2"/>
        <v>1E</v>
      </c>
      <c r="E34" s="29" t="str">
        <f>_xlfn.IFNA(VLOOKUP($C34&amp;","&amp;E3,汇编指令!$C$2:$D$235,2,FALSE),"-1")</f>
        <v>E4</v>
      </c>
      <c r="F34" s="30" t="str">
        <f>_xlfn.IFNA(VLOOKUP($C34&amp;","&amp;F3,汇编指令!$C$2:$D$235,2,FALSE),"-1")</f>
        <v>-1</v>
      </c>
      <c r="G34" s="30" t="str">
        <f>_xlfn.IFNA(VLOOKUP($C34&amp;","&amp;G3,汇编指令!$C$2:$D$235,2,FALSE),"-1")</f>
        <v>-1</v>
      </c>
      <c r="H34" s="30" t="str">
        <f>_xlfn.IFNA(VLOOKUP($C34&amp;","&amp;H3,汇编指令!$C$2:$D$235,2,FALSE),"-1")</f>
        <v>-1</v>
      </c>
      <c r="I34" s="30" t="str">
        <f>_xlfn.IFNA(VLOOKUP($C34&amp;","&amp;I3,汇编指令!$C$2:$D$235,2,FALSE),"-1")</f>
        <v>-1</v>
      </c>
      <c r="J34" s="30" t="str">
        <f>_xlfn.IFNA(VLOOKUP($C34&amp;","&amp;J3,汇编指令!$C$2:$D$235,2,FALSE),"-1")</f>
        <v>-1</v>
      </c>
      <c r="K34" s="30" t="str">
        <f>_xlfn.IFNA(VLOOKUP($C34&amp;","&amp;K3,汇编指令!$C$2:$D$235,2,FALSE),"-1")</f>
        <v>-1</v>
      </c>
      <c r="L34" s="30" t="str">
        <f>_xlfn.IFNA(VLOOKUP($C34&amp;","&amp;L3,汇编指令!$C$2:$D$235,2,FALSE),"-1")</f>
        <v>-1</v>
      </c>
      <c r="M34" s="30" t="str">
        <f>_xlfn.IFNA(VLOOKUP($C34&amp;","&amp;M3,汇编指令!$C$2:$D$235,2,FALSE),"-1")</f>
        <v>-1</v>
      </c>
      <c r="N34" s="30" t="str">
        <f>_xlfn.IFNA(VLOOKUP($C34&amp;","&amp;N3,汇编指令!$C$2:$D$235,2,FALSE),"-1")</f>
        <v>-1</v>
      </c>
      <c r="O34" s="30" t="str">
        <f>_xlfn.IFNA(VLOOKUP($C34&amp;","&amp;O3,汇编指令!$C$2:$D$235,2,FALSE),"-1")</f>
        <v>-1</v>
      </c>
      <c r="P34" s="30" t="str">
        <f>_xlfn.IFNA(VLOOKUP($C34&amp;","&amp;P3,汇编指令!$C$2:$D$235,2,FALSE),"-1")</f>
        <v>-1</v>
      </c>
      <c r="Q34" s="30" t="str">
        <f>_xlfn.IFNA(VLOOKUP($C34&amp;","&amp;Q3,汇编指令!$C$2:$D$235,2,FALSE),"-1")</f>
        <v>-1</v>
      </c>
      <c r="R34" s="30" t="str">
        <f>_xlfn.IFNA(VLOOKUP($C34&amp;","&amp;R3,汇编指令!$C$2:$D$235,2,FALSE),"-1")</f>
        <v>-1</v>
      </c>
      <c r="S34" s="30" t="str">
        <f>_xlfn.IFNA(VLOOKUP($C34&amp;","&amp;S3,汇编指令!$C$2:$D$235,2,FALSE),"-1")</f>
        <v>-1</v>
      </c>
      <c r="T34" s="30" t="str">
        <f>_xlfn.IFNA(VLOOKUP($C34&amp;","&amp;T3,汇编指令!$C$2:$D$235,2,FALSE),"-1")</f>
        <v>-1</v>
      </c>
      <c r="U34" s="30" t="str">
        <f>_xlfn.IFNA(VLOOKUP($C34&amp;","&amp;U3,汇编指令!$C$2:$D$235,2,FALSE),"-1")</f>
        <v>-1</v>
      </c>
      <c r="V34" s="30" t="str">
        <f>_xlfn.IFNA(VLOOKUP($C34&amp;","&amp;V3,汇编指令!$C$2:$D$235,2,FALSE),"-1")</f>
        <v>-1</v>
      </c>
      <c r="W34" s="30" t="str">
        <f>_xlfn.IFNA(VLOOKUP($C34&amp;","&amp;W3,汇编指令!$C$2:$D$235,2,FALSE),"-1")</f>
        <v>-1</v>
      </c>
      <c r="X34" s="30" t="str">
        <f>_xlfn.IFNA(VLOOKUP($C34&amp;","&amp;X3,汇编指令!$C$2:$D$235,2,FALSE),"-1")</f>
        <v>-1</v>
      </c>
      <c r="Y34" s="35" t="str">
        <f>_xlfn.IFNA(VLOOKUP($C34&amp;","&amp;Y3,汇编指令!$C$2:$D$235,2,FALSE),"-1")</f>
        <v>C2</v>
      </c>
      <c r="Z34" s="35" t="str">
        <f>_xlfn.IFNA(VLOOKUP($C34&amp;","&amp;Z3,汇编指令!$C$2:$D$235,2,FALSE),"-1")</f>
        <v>C3</v>
      </c>
      <c r="AA34" s="32" t="str">
        <f>_xlfn.IFNA(VLOOKUP($C34&amp;","&amp;AA3,汇编指令!$C$2:$D$235,2,FALSE),"-1")</f>
        <v>-1</v>
      </c>
      <c r="AB34" s="53" t="str">
        <f>_xlfn.IFNA(VLOOKUP($C34&amp;","&amp;AB3,汇编指令!$C$2:$D$235,2,FALSE),"-1")</f>
        <v>-1</v>
      </c>
    </row>
    <row r="35" ht="20" customHeight="1" spans="1:28">
      <c r="A35" s="16">
        <v>1</v>
      </c>
      <c r="B35" s="21">
        <f t="shared" si="1"/>
        <v>31</v>
      </c>
      <c r="C35" s="24" t="s">
        <v>950</v>
      </c>
      <c r="D35" s="23" t="str">
        <f t="shared" si="2"/>
        <v>1F</v>
      </c>
      <c r="E35" s="31" t="str">
        <f>_xlfn.IFNA(VLOOKUP($C35&amp;","&amp;E3,汇编指令!$C$2:$D$235,2,FALSE),"-1")</f>
        <v>F4</v>
      </c>
      <c r="F35" s="32" t="str">
        <f>_xlfn.IFNA(VLOOKUP($C35&amp;","&amp;F3,汇编指令!$C$2:$D$235,2,FALSE),"-1")</f>
        <v>-1</v>
      </c>
      <c r="G35" s="32" t="str">
        <f>_xlfn.IFNA(VLOOKUP($C35&amp;","&amp;G3,汇编指令!$C$2:$D$235,2,FALSE),"-1")</f>
        <v>-1</v>
      </c>
      <c r="H35" s="32" t="str">
        <f>_xlfn.IFNA(VLOOKUP($C35&amp;","&amp;H3,汇编指令!$C$2:$D$235,2,FALSE),"-1")</f>
        <v>-1</v>
      </c>
      <c r="I35" s="32" t="str">
        <f>_xlfn.IFNA(VLOOKUP($C35&amp;","&amp;I3,汇编指令!$C$2:$D$235,2,FALSE),"-1")</f>
        <v>-1</v>
      </c>
      <c r="J35" s="32" t="str">
        <f>_xlfn.IFNA(VLOOKUP($C35&amp;","&amp;J3,汇编指令!$C$2:$D$235,2,FALSE),"-1")</f>
        <v>-1</v>
      </c>
      <c r="K35" s="32" t="str">
        <f>_xlfn.IFNA(VLOOKUP($C35&amp;","&amp;K3,汇编指令!$C$2:$D$235,2,FALSE),"-1")</f>
        <v>-1</v>
      </c>
      <c r="L35" s="32" t="str">
        <f>_xlfn.IFNA(VLOOKUP($C35&amp;","&amp;L3,汇编指令!$C$2:$D$235,2,FALSE),"-1")</f>
        <v>-1</v>
      </c>
      <c r="M35" s="32" t="str">
        <f>_xlfn.IFNA(VLOOKUP($C35&amp;","&amp;M3,汇编指令!$C$2:$D$235,2,FALSE),"-1")</f>
        <v>-1</v>
      </c>
      <c r="N35" s="32" t="str">
        <f>_xlfn.IFNA(VLOOKUP($C35&amp;","&amp;N3,汇编指令!$C$2:$D$235,2,FALSE),"-1")</f>
        <v>-1</v>
      </c>
      <c r="O35" s="32" t="str">
        <f>_xlfn.IFNA(VLOOKUP($C35&amp;","&amp;O3,汇编指令!$C$2:$D$235,2,FALSE),"-1")</f>
        <v>-1</v>
      </c>
      <c r="P35" s="32" t="str">
        <f>_xlfn.IFNA(VLOOKUP($C35&amp;","&amp;P3,汇编指令!$C$2:$D$235,2,FALSE),"-1")</f>
        <v>-1</v>
      </c>
      <c r="Q35" s="32" t="str">
        <f>_xlfn.IFNA(VLOOKUP($C35&amp;","&amp;Q3,汇编指令!$C$2:$D$235,2,FALSE),"-1")</f>
        <v>-1</v>
      </c>
      <c r="R35" s="32" t="str">
        <f>_xlfn.IFNA(VLOOKUP($C35&amp;","&amp;R3,汇编指令!$C$2:$D$235,2,FALSE),"-1")</f>
        <v>-1</v>
      </c>
      <c r="S35" s="32" t="str">
        <f>_xlfn.IFNA(VLOOKUP($C35&amp;","&amp;S3,汇编指令!$C$2:$D$235,2,FALSE),"-1")</f>
        <v>-1</v>
      </c>
      <c r="T35" s="32" t="str">
        <f>_xlfn.IFNA(VLOOKUP($C35&amp;","&amp;T3,汇编指令!$C$2:$D$235,2,FALSE),"-1")</f>
        <v>-1</v>
      </c>
      <c r="U35" s="32" t="str">
        <f>_xlfn.IFNA(VLOOKUP($C35&amp;","&amp;U3,汇编指令!$C$2:$D$235,2,FALSE),"-1")</f>
        <v>-1</v>
      </c>
      <c r="V35" s="32" t="str">
        <f>_xlfn.IFNA(VLOOKUP($C35&amp;","&amp;V3,汇编指令!$C$2:$D$235,2,FALSE),"-1")</f>
        <v>-1</v>
      </c>
      <c r="W35" s="32" t="str">
        <f>_xlfn.IFNA(VLOOKUP($C35&amp;","&amp;W3,汇编指令!$C$2:$D$235,2,FALSE),"-1")</f>
        <v>-1</v>
      </c>
      <c r="X35" s="32" t="str">
        <f>_xlfn.IFNA(VLOOKUP($C35&amp;","&amp;X3,汇编指令!$C$2:$D$235,2,FALSE),"-1")</f>
        <v>-1</v>
      </c>
      <c r="Y35" s="33" t="str">
        <f>_xlfn.IFNA(VLOOKUP($C35&amp;","&amp;Y3,汇编指令!$C$2:$D$235,2,FALSE),"-1")</f>
        <v>B2</v>
      </c>
      <c r="Z35" s="32" t="str">
        <f>_xlfn.IFNA(VLOOKUP($C35&amp;","&amp;Z3,汇编指令!$C$2:$D$235,2,FALSE),"-1")</f>
        <v>-1</v>
      </c>
      <c r="AA35" s="32" t="str">
        <f>_xlfn.IFNA(VLOOKUP($C35&amp;","&amp;AA3,汇编指令!$C$2:$D$235,2,FALSE),"-1")</f>
        <v>-1</v>
      </c>
      <c r="AB35" s="53" t="str">
        <f>_xlfn.IFNA(VLOOKUP($C35&amp;","&amp;AB3,汇编指令!$C$2:$D$235,2,FALSE),"-1")</f>
        <v>-1</v>
      </c>
    </row>
    <row r="36" ht="20" customHeight="1" spans="1:28">
      <c r="A36" s="16">
        <v>1</v>
      </c>
      <c r="B36" s="21">
        <f t="shared" si="1"/>
        <v>32</v>
      </c>
      <c r="C36" s="24" t="s">
        <v>951</v>
      </c>
      <c r="D36" s="23" t="str">
        <f t="shared" si="2"/>
        <v>20</v>
      </c>
      <c r="E36" s="31" t="str">
        <f>_xlfn.IFNA(VLOOKUP($C36&amp;","&amp;E3,汇编指令!$C$2:$D$235,2,FALSE),"-1")</f>
        <v>D4</v>
      </c>
      <c r="F36" s="32" t="str">
        <f>_xlfn.IFNA(VLOOKUP($C36&amp;","&amp;F3,汇编指令!$C$2:$D$235,2,FALSE),"-1")</f>
        <v>-1</v>
      </c>
      <c r="G36" s="32" t="str">
        <f>_xlfn.IFNA(VLOOKUP($C36&amp;","&amp;G3,汇编指令!$C$2:$D$235,2,FALSE),"-1")</f>
        <v>-1</v>
      </c>
      <c r="H36" s="32" t="str">
        <f>_xlfn.IFNA(VLOOKUP($C36&amp;","&amp;H3,汇编指令!$C$2:$D$235,2,FALSE),"-1")</f>
        <v>-1</v>
      </c>
      <c r="I36" s="32" t="str">
        <f>_xlfn.IFNA(VLOOKUP($C36&amp;","&amp;I3,汇编指令!$C$2:$D$235,2,FALSE),"-1")</f>
        <v>-1</v>
      </c>
      <c r="J36" s="32" t="str">
        <f>_xlfn.IFNA(VLOOKUP($C36&amp;","&amp;J3,汇编指令!$C$2:$D$235,2,FALSE),"-1")</f>
        <v>-1</v>
      </c>
      <c r="K36" s="32" t="str">
        <f>_xlfn.IFNA(VLOOKUP($C36&amp;","&amp;K3,汇编指令!$C$2:$D$235,2,FALSE),"-1")</f>
        <v>-1</v>
      </c>
      <c r="L36" s="32" t="str">
        <f>_xlfn.IFNA(VLOOKUP($C36&amp;","&amp;L3,汇编指令!$C$2:$D$235,2,FALSE),"-1")</f>
        <v>-1</v>
      </c>
      <c r="M36" s="32" t="str">
        <f>_xlfn.IFNA(VLOOKUP($C36&amp;","&amp;M3,汇编指令!$C$2:$D$235,2,FALSE),"-1")</f>
        <v>-1</v>
      </c>
      <c r="N36" s="32" t="str">
        <f>_xlfn.IFNA(VLOOKUP($C36&amp;","&amp;N3,汇编指令!$C$2:$D$235,2,FALSE),"-1")</f>
        <v>-1</v>
      </c>
      <c r="O36" s="32" t="str">
        <f>_xlfn.IFNA(VLOOKUP($C36&amp;","&amp;O3,汇编指令!$C$2:$D$235,2,FALSE),"-1")</f>
        <v>-1</v>
      </c>
      <c r="P36" s="32" t="str">
        <f>_xlfn.IFNA(VLOOKUP($C36&amp;","&amp;P3,汇编指令!$C$2:$D$235,2,FALSE),"-1")</f>
        <v>-1</v>
      </c>
      <c r="Q36" s="32" t="str">
        <f>_xlfn.IFNA(VLOOKUP($C36&amp;","&amp;Q3,汇编指令!$C$2:$D$235,2,FALSE),"-1")</f>
        <v>-1</v>
      </c>
      <c r="R36" s="32" t="str">
        <f>_xlfn.IFNA(VLOOKUP($C36&amp;","&amp;R3,汇编指令!$C$2:$D$235,2,FALSE),"-1")</f>
        <v>-1</v>
      </c>
      <c r="S36" s="32" t="str">
        <f>_xlfn.IFNA(VLOOKUP($C36&amp;","&amp;S3,汇编指令!$C$2:$D$235,2,FALSE),"-1")</f>
        <v>-1</v>
      </c>
      <c r="T36" s="32" t="str">
        <f>_xlfn.IFNA(VLOOKUP($C36&amp;","&amp;T3,汇编指令!$C$2:$D$235,2,FALSE),"-1")</f>
        <v>-1</v>
      </c>
      <c r="U36" s="32" t="str">
        <f>_xlfn.IFNA(VLOOKUP($C36&amp;","&amp;U3,汇编指令!$C$2:$D$235,2,FALSE),"-1")</f>
        <v>-1</v>
      </c>
      <c r="V36" s="32" t="str">
        <f>_xlfn.IFNA(VLOOKUP($C36&amp;","&amp;V3,汇编指令!$C$2:$D$235,2,FALSE),"-1")</f>
        <v>-1</v>
      </c>
      <c r="W36" s="32" t="str">
        <f>_xlfn.IFNA(VLOOKUP($C36&amp;","&amp;W3,汇编指令!$C$2:$D$235,2,FALSE),"-1")</f>
        <v>-1</v>
      </c>
      <c r="X36" s="32" t="str">
        <f>_xlfn.IFNA(VLOOKUP($C36&amp;","&amp;X3,汇编指令!$C$2:$D$235,2,FALSE),"-1")</f>
        <v>-1</v>
      </c>
      <c r="Y36" s="32" t="str">
        <f>_xlfn.IFNA(VLOOKUP($C36&amp;","&amp;Y3,汇编指令!$C$2:$D$235,2,FALSE),"-1")</f>
        <v>-1</v>
      </c>
      <c r="Z36" s="32" t="str">
        <f>_xlfn.IFNA(VLOOKUP($C36&amp;","&amp;Z3,汇编指令!$C$2:$D$235,2,FALSE),"-1")</f>
        <v>-1</v>
      </c>
      <c r="AA36" s="32" t="str">
        <f>_xlfn.IFNA(VLOOKUP($C36&amp;","&amp;AA3,汇编指令!$C$2:$D$235,2,FALSE),"-1")</f>
        <v>-1</v>
      </c>
      <c r="AB36" s="53" t="str">
        <f>_xlfn.IFNA(VLOOKUP($C36&amp;","&amp;AB3,汇编指令!$C$2:$D$235,2,FALSE),"-1")</f>
        <v>-1</v>
      </c>
    </row>
    <row r="37" ht="20" customHeight="1" spans="1:28">
      <c r="A37" s="16">
        <v>1</v>
      </c>
      <c r="B37" s="21">
        <f t="shared" si="1"/>
        <v>33</v>
      </c>
      <c r="C37" s="24" t="s">
        <v>952</v>
      </c>
      <c r="D37" s="23" t="str">
        <f t="shared" si="2"/>
        <v>21</v>
      </c>
      <c r="E37" s="31" t="str">
        <f>_xlfn.IFNA(VLOOKUP($C37&amp;","&amp;E3,汇编指令!$C$2:$D$235,2,FALSE),"-1")</f>
        <v>14</v>
      </c>
      <c r="F37" s="33" t="str">
        <f>_xlfn.IFNA(VLOOKUP($C37&amp;","&amp;F3,汇编指令!$C$2:$D$235,2,FALSE),"-1")</f>
        <v>18</v>
      </c>
      <c r="G37" s="33" t="str">
        <f>_xlfn.IFNA(VLOOKUP($C37&amp;","&amp;G3,汇编指令!$C$2:$D$235,2,FALSE),"-1")</f>
        <v>19</v>
      </c>
      <c r="H37" s="33" t="str">
        <f>_xlfn.IFNA(VLOOKUP($C37&amp;","&amp;H3,汇编指令!$C$2:$D$235,2,FALSE),"-1")</f>
        <v>1A</v>
      </c>
      <c r="I37" s="33" t="str">
        <f>_xlfn.IFNA(VLOOKUP($C37&amp;","&amp;I3,汇编指令!$C$2:$D$235,2,FALSE),"-1")</f>
        <v>1B</v>
      </c>
      <c r="J37" s="33" t="str">
        <f>_xlfn.IFNA(VLOOKUP($C37&amp;","&amp;J3,汇编指令!$C$2:$D$235,2,FALSE),"-1")</f>
        <v>1C</v>
      </c>
      <c r="K37" s="33" t="str">
        <f>_xlfn.IFNA(VLOOKUP($C37&amp;","&amp;K3,汇编指令!$C$2:$D$235,2,FALSE),"-1")</f>
        <v>1D</v>
      </c>
      <c r="L37" s="33" t="str">
        <f>_xlfn.IFNA(VLOOKUP($C37&amp;","&amp;L3,汇编指令!$C$2:$D$235,2,FALSE),"-1")</f>
        <v>1E</v>
      </c>
      <c r="M37" s="33" t="str">
        <f>_xlfn.IFNA(VLOOKUP($C37&amp;","&amp;M3,汇编指令!$C$2:$D$235,2,FALSE),"-1")</f>
        <v>1F</v>
      </c>
      <c r="N37" s="32" t="str">
        <f>_xlfn.IFNA(VLOOKUP($C37&amp;","&amp;N3,汇编指令!$C$2:$D$235,2,FALSE),"-1")</f>
        <v>-1</v>
      </c>
      <c r="O37" s="33" t="str">
        <f>_xlfn.IFNA(VLOOKUP($C37&amp;","&amp;O3,汇编指令!$C$2:$D$235,2,FALSE),"-1")</f>
        <v>15</v>
      </c>
      <c r="P37" s="33" t="str">
        <f>_xlfn.IFNA(VLOOKUP($C37&amp;","&amp;P3,汇编指令!$C$2:$D$235,2,FALSE),"-1")</f>
        <v>16</v>
      </c>
      <c r="Q37" s="33" t="str">
        <f>_xlfn.IFNA(VLOOKUP($C37&amp;","&amp;Q3,汇编指令!$C$2:$D$235,2,FALSE),"-1")</f>
        <v>17</v>
      </c>
      <c r="R37" s="32" t="str">
        <f>_xlfn.IFNA(VLOOKUP($C37&amp;","&amp;R3,汇编指令!$C$2:$D$235,2,FALSE),"-1")</f>
        <v>-1</v>
      </c>
      <c r="S37" s="32" t="str">
        <f>_xlfn.IFNA(VLOOKUP($C37&amp;","&amp;S3,汇编指令!$C$2:$D$235,2,FALSE),"-1")</f>
        <v>-1</v>
      </c>
      <c r="T37" s="32" t="str">
        <f>_xlfn.IFNA(VLOOKUP($C37&amp;","&amp;T3,汇编指令!$C$2:$D$235,2,FALSE),"-1")</f>
        <v>-1</v>
      </c>
      <c r="U37" s="32" t="str">
        <f>_xlfn.IFNA(VLOOKUP($C37&amp;","&amp;U3,汇编指令!$C$2:$D$235,2,FALSE),"-1")</f>
        <v>-1</v>
      </c>
      <c r="V37" s="32" t="str">
        <f>_xlfn.IFNA(VLOOKUP($C37&amp;","&amp;V3,汇编指令!$C$2:$D$235,2,FALSE),"-1")</f>
        <v>-1</v>
      </c>
      <c r="W37" s="32" t="str">
        <f>_xlfn.IFNA(VLOOKUP($C37&amp;","&amp;W3,汇编指令!$C$2:$D$235,2,FALSE),"-1")</f>
        <v>-1</v>
      </c>
      <c r="X37" s="32" t="str">
        <f>_xlfn.IFNA(VLOOKUP($C37&amp;","&amp;X3,汇编指令!$C$2:$D$235,2,FALSE),"-1")</f>
        <v>-1</v>
      </c>
      <c r="Y37" s="32" t="str">
        <f>_xlfn.IFNA(VLOOKUP($C37&amp;","&amp;Y3,汇编指令!$C$2:$D$235,2,FALSE),"-1")</f>
        <v>-1</v>
      </c>
      <c r="Z37" s="32" t="str">
        <f>_xlfn.IFNA(VLOOKUP($C37&amp;","&amp;Z3,汇编指令!$C$2:$D$235,2,FALSE),"-1")</f>
        <v>-1</v>
      </c>
      <c r="AA37" s="32" t="str">
        <f>_xlfn.IFNA(VLOOKUP($C37&amp;","&amp;AA3,汇编指令!$C$2:$D$235,2,FALSE),"-1")</f>
        <v>-1</v>
      </c>
      <c r="AB37" s="53" t="str">
        <f>_xlfn.IFNA(VLOOKUP($C37&amp;","&amp;AB3,汇编指令!$C$2:$D$235,2,FALSE),"-1")</f>
        <v>-1</v>
      </c>
    </row>
    <row r="38" ht="20" customHeight="1" spans="1:28">
      <c r="A38" s="16">
        <v>1</v>
      </c>
      <c r="B38" s="21">
        <f t="shared" si="1"/>
        <v>34</v>
      </c>
      <c r="C38" s="24" t="s">
        <v>953</v>
      </c>
      <c r="D38" s="23" t="str">
        <f t="shared" si="2"/>
        <v>22</v>
      </c>
      <c r="E38" s="34" t="str">
        <f>_xlfn.IFNA(VLOOKUP($C38&amp;","&amp;E3,汇编指令!$C$2:$D$235,2,FALSE),"-1")</f>
        <v>-1</v>
      </c>
      <c r="F38" s="32" t="str">
        <f>_xlfn.IFNA(VLOOKUP($C38&amp;","&amp;F3,汇编指令!$C$2:$D$235,2,FALSE),"-1")</f>
        <v>-1</v>
      </c>
      <c r="G38" s="32" t="str">
        <f>_xlfn.IFNA(VLOOKUP($C38&amp;","&amp;G3,汇编指令!$C$2:$D$235,2,FALSE),"-1")</f>
        <v>-1</v>
      </c>
      <c r="H38" s="32" t="str">
        <f>_xlfn.IFNA(VLOOKUP($C38&amp;","&amp;H3,汇编指令!$C$2:$D$235,2,FALSE),"-1")</f>
        <v>-1</v>
      </c>
      <c r="I38" s="32" t="str">
        <f>_xlfn.IFNA(VLOOKUP($C38&amp;","&amp;I3,汇编指令!$C$2:$D$235,2,FALSE),"-1")</f>
        <v>-1</v>
      </c>
      <c r="J38" s="32" t="str">
        <f>_xlfn.IFNA(VLOOKUP($C38&amp;","&amp;J3,汇编指令!$C$2:$D$235,2,FALSE),"-1")</f>
        <v>-1</v>
      </c>
      <c r="K38" s="32" t="str">
        <f>_xlfn.IFNA(VLOOKUP($C38&amp;","&amp;K3,汇编指令!$C$2:$D$235,2,FALSE),"-1")</f>
        <v>-1</v>
      </c>
      <c r="L38" s="32" t="str">
        <f>_xlfn.IFNA(VLOOKUP($C38&amp;","&amp;L3,汇编指令!$C$2:$D$235,2,FALSE),"-1")</f>
        <v>-1</v>
      </c>
      <c r="M38" s="32" t="str">
        <f>_xlfn.IFNA(VLOOKUP($C38&amp;","&amp;M3,汇编指令!$C$2:$D$235,2,FALSE),"-1")</f>
        <v>-1</v>
      </c>
      <c r="N38" s="32" t="str">
        <f>_xlfn.IFNA(VLOOKUP($C38&amp;","&amp;N3,汇编指令!$C$2:$D$235,2,FALSE),"-1")</f>
        <v>-1</v>
      </c>
      <c r="O38" s="32" t="str">
        <f>_xlfn.IFNA(VLOOKUP($C38&amp;","&amp;O3,汇编指令!$C$2:$D$235,2,FALSE),"-1")</f>
        <v>-1</v>
      </c>
      <c r="P38" s="32" t="str">
        <f>_xlfn.IFNA(VLOOKUP($C38&amp;","&amp;P3,汇编指令!$C$2:$D$235,2,FALSE),"-1")</f>
        <v>-1</v>
      </c>
      <c r="Q38" s="32" t="str">
        <f>_xlfn.IFNA(VLOOKUP($C38&amp;","&amp;Q3,汇编指令!$C$2:$D$235,2,FALSE),"-1")</f>
        <v>-1</v>
      </c>
      <c r="R38" s="32" t="str">
        <f>_xlfn.IFNA(VLOOKUP($C38&amp;","&amp;R3,汇编指令!$C$2:$D$235,2,FALSE),"-1")</f>
        <v>-1</v>
      </c>
      <c r="S38" s="32" t="str">
        <f>_xlfn.IFNA(VLOOKUP($C38&amp;","&amp;S3,汇编指令!$C$2:$D$235,2,FALSE),"-1")</f>
        <v>-1</v>
      </c>
      <c r="T38" s="32" t="str">
        <f>_xlfn.IFNA(VLOOKUP($C38&amp;","&amp;T3,汇编指令!$C$2:$D$235,2,FALSE),"-1")</f>
        <v>-1</v>
      </c>
      <c r="U38" s="32" t="str">
        <f>_xlfn.IFNA(VLOOKUP($C38&amp;","&amp;U3,汇编指令!$C$2:$D$235,2,FALSE),"-1")</f>
        <v>-1</v>
      </c>
      <c r="V38" s="32" t="str">
        <f>_xlfn.IFNA(VLOOKUP($C38&amp;","&amp;V3,汇编指令!$C$2:$D$235,2,FALSE),"-1")</f>
        <v>-1</v>
      </c>
      <c r="W38" s="32" t="str">
        <f>_xlfn.IFNA(VLOOKUP($C38&amp;","&amp;W3,汇编指令!$C$2:$D$235,2,FALSE),"-1")</f>
        <v>-1</v>
      </c>
      <c r="X38" s="32" t="str">
        <f>_xlfn.IFNA(VLOOKUP($C38&amp;","&amp;X3,汇编指令!$C$2:$D$235,2,FALSE),"-1")</f>
        <v>-1</v>
      </c>
      <c r="Y38" s="32" t="str">
        <f>_xlfn.IFNA(VLOOKUP($C38&amp;","&amp;Y3,汇编指令!$C$2:$D$235,2,FALSE),"-1")</f>
        <v>-1</v>
      </c>
      <c r="Z38" s="32" t="str">
        <f>_xlfn.IFNA(VLOOKUP($C38&amp;","&amp;Z3,汇编指令!$C$2:$D$235,2,FALSE),"-1")</f>
        <v>-1</v>
      </c>
      <c r="AA38" s="33" t="str">
        <f>_xlfn.IFNA(VLOOKUP($C38&amp;","&amp;AA3,汇编指令!$C$2:$D$235,2,FALSE),"-1")</f>
        <v>84</v>
      </c>
      <c r="AB38" s="54" t="str">
        <f>_xlfn.IFNA(VLOOKUP($C38&amp;","&amp;AB3,汇编指令!$C$2:$D$235,2,FALSE),"-1")</f>
        <v>-1</v>
      </c>
    </row>
    <row r="39" s="7" customFormat="1" ht="20" customHeight="1" spans="1:29">
      <c r="A39" s="16">
        <v>1</v>
      </c>
      <c r="B39" s="21">
        <f t="shared" si="1"/>
        <v>35</v>
      </c>
      <c r="C39" s="24" t="s">
        <v>954</v>
      </c>
      <c r="D39" s="23" t="str">
        <f t="shared" si="2"/>
        <v>23</v>
      </c>
      <c r="E39" s="31" t="str">
        <f>_xlfn.IFNA(VLOOKUP($C39&amp;","&amp;E3,汇编指令!$C$2:$D$235,2,FALSE),"-1")</f>
        <v>4</v>
      </c>
      <c r="F39" s="33" t="str">
        <f>_xlfn.IFNA(VLOOKUP($C39&amp;","&amp;F3,汇编指令!$C$2:$D$235,2,FALSE),"-1")</f>
        <v>8</v>
      </c>
      <c r="G39" s="33" t="str">
        <f>_xlfn.IFNA(VLOOKUP($C39&amp;","&amp;G3,汇编指令!$C$2:$D$235,2,FALSE),"-1")</f>
        <v>9</v>
      </c>
      <c r="H39" s="33" t="str">
        <f>_xlfn.IFNA(VLOOKUP($C39&amp;","&amp;H3,汇编指令!$C$2:$D$235,2,FALSE),"-1")</f>
        <v>A</v>
      </c>
      <c r="I39" s="33" t="str">
        <f>_xlfn.IFNA(VLOOKUP($C39&amp;","&amp;I3,汇编指令!$C$2:$D$235,2,FALSE),"-1")</f>
        <v>B</v>
      </c>
      <c r="J39" s="33" t="str">
        <f>_xlfn.IFNA(VLOOKUP($C39&amp;","&amp;J3,汇编指令!$C$2:$D$235,2,FALSE),"-1")</f>
        <v>C</v>
      </c>
      <c r="K39" s="33" t="str">
        <f>_xlfn.IFNA(VLOOKUP($C39&amp;","&amp;K3,汇编指令!$C$2:$D$235,2,FALSE),"-1")</f>
        <v>D</v>
      </c>
      <c r="L39" s="33" t="str">
        <f>_xlfn.IFNA(VLOOKUP($C39&amp;","&amp;L3,汇编指令!$C$2:$D$235,2,FALSE),"-1")</f>
        <v>E</v>
      </c>
      <c r="M39" s="33" t="str">
        <f>_xlfn.IFNA(VLOOKUP($C39&amp;","&amp;M3,汇编指令!$C$2:$D$235,2,FALSE),"-1")</f>
        <v>F</v>
      </c>
      <c r="N39" s="33" t="str">
        <f>_xlfn.IFNA(VLOOKUP($C39&amp;","&amp;N3,汇编指令!$C$2:$D$235,2,FALSE),"-1")</f>
        <v>-1</v>
      </c>
      <c r="O39" s="33" t="str">
        <f>_xlfn.IFNA(VLOOKUP($C39&amp;","&amp;O3,汇编指令!$C$2:$D$235,2,FALSE),"-1")</f>
        <v>5</v>
      </c>
      <c r="P39" s="33" t="str">
        <f>_xlfn.IFNA(VLOOKUP($C39&amp;","&amp;P3,汇编指令!$C$2:$D$235,2,FALSE),"-1")</f>
        <v>6</v>
      </c>
      <c r="Q39" s="33" t="str">
        <f>_xlfn.IFNA(VLOOKUP($C39&amp;","&amp;Q3,汇编指令!$C$2:$D$235,2,FALSE),"-1")</f>
        <v>7</v>
      </c>
      <c r="R39" s="33" t="str">
        <f>_xlfn.IFNA(VLOOKUP($C39&amp;","&amp;R3,汇编指令!$C$2:$D$235,2,FALSE),"-1")</f>
        <v>A3</v>
      </c>
      <c r="S39" s="32" t="str">
        <f>_xlfn.IFNA(VLOOKUP($C39&amp;","&amp;S3,汇编指令!$C$2:$D$235,2,FALSE),"-1")</f>
        <v>-1</v>
      </c>
      <c r="T39" s="32" t="str">
        <f>_xlfn.IFNA(VLOOKUP($C39&amp;","&amp;T3,汇编指令!$C$2:$D$235,2,FALSE),"-1")</f>
        <v>-1</v>
      </c>
      <c r="U39" s="32" t="str">
        <f>_xlfn.IFNA(VLOOKUP($C39&amp;","&amp;U3,汇编指令!$C$2:$D$235,2,FALSE),"-1")</f>
        <v>-1</v>
      </c>
      <c r="V39" s="32" t="str">
        <f>_xlfn.IFNA(VLOOKUP($C39&amp;","&amp;V3,汇编指令!$C$2:$D$235,2,FALSE),"-1")</f>
        <v>-1</v>
      </c>
      <c r="W39" s="32" t="str">
        <f>_xlfn.IFNA(VLOOKUP($C39&amp;","&amp;W3,汇编指令!$C$2:$D$235,2,FALSE),"-1")</f>
        <v>-1</v>
      </c>
      <c r="X39" s="32" t="str">
        <f>_xlfn.IFNA(VLOOKUP($C39&amp;","&amp;X3,汇编指令!$C$2:$D$235,2,FALSE),"-1")</f>
        <v>-1</v>
      </c>
      <c r="Y39" s="32" t="str">
        <f>_xlfn.IFNA(VLOOKUP($C39&amp;","&amp;Y3,汇编指令!$C$2:$D$235,2,FALSE),"-1")</f>
        <v>-1</v>
      </c>
      <c r="Z39" s="32" t="str">
        <f>_xlfn.IFNA(VLOOKUP($C39&amp;","&amp;Z3,汇编指令!$C$2:$D$235,2,FALSE),"-1")</f>
        <v>-1</v>
      </c>
      <c r="AA39" s="32" t="str">
        <f>_xlfn.IFNA(VLOOKUP($C39&amp;","&amp;AA3,汇编指令!$C$2:$D$235,2,FALSE),"-1")</f>
        <v>-1</v>
      </c>
      <c r="AB39" s="53" t="str">
        <f>_xlfn.IFNA(VLOOKUP($C39&amp;","&amp;AB3,汇编指令!$C$2:$D$235,2,FALSE),"-1")</f>
        <v>-1</v>
      </c>
      <c r="AC39" s="55"/>
    </row>
    <row r="40" ht="20" customHeight="1" spans="1:28">
      <c r="A40" s="16">
        <v>1</v>
      </c>
      <c r="B40" s="21">
        <f t="shared" si="1"/>
        <v>36</v>
      </c>
      <c r="C40" s="24" t="s">
        <v>955</v>
      </c>
      <c r="D40" s="23" t="str">
        <f t="shared" si="2"/>
        <v>24</v>
      </c>
      <c r="E40" s="34" t="str">
        <f>_xlfn.IFNA(VLOOKUP($C40&amp;","&amp;E3,汇编指令!$C$2:$D$235,2,FALSE),"-1")</f>
        <v>-1</v>
      </c>
      <c r="F40" s="32" t="str">
        <f>_xlfn.IFNA(VLOOKUP($C40&amp;","&amp;F3,汇编指令!$C$2:$D$235,2,FALSE),"-1")</f>
        <v>-1</v>
      </c>
      <c r="G40" s="32" t="str">
        <f>_xlfn.IFNA(VLOOKUP($C40&amp;","&amp;G3,汇编指令!$C$2:$D$235,2,FALSE),"-1")</f>
        <v>-1</v>
      </c>
      <c r="H40" s="32" t="str">
        <f>_xlfn.IFNA(VLOOKUP($C40&amp;","&amp;H3,汇编指令!$C$2:$D$235,2,FALSE),"-1")</f>
        <v>-1</v>
      </c>
      <c r="I40" s="32" t="str">
        <f>_xlfn.IFNA(VLOOKUP($C40&amp;","&amp;I3,汇编指令!$C$2:$D$235,2,FALSE),"-1")</f>
        <v>-1</v>
      </c>
      <c r="J40" s="32" t="str">
        <f>_xlfn.IFNA(VLOOKUP($C40&amp;","&amp;J3,汇编指令!$C$2:$D$235,2,FALSE),"-1")</f>
        <v>-1</v>
      </c>
      <c r="K40" s="32" t="str">
        <f>_xlfn.IFNA(VLOOKUP($C40&amp;","&amp;K3,汇编指令!$C$2:$D$235,2,FALSE),"-1")</f>
        <v>-1</v>
      </c>
      <c r="L40" s="32" t="str">
        <f>_xlfn.IFNA(VLOOKUP($C40&amp;","&amp;L3,汇编指令!$C$2:$D$235,2,FALSE),"-1")</f>
        <v>-1</v>
      </c>
      <c r="M40" s="32" t="str">
        <f>_xlfn.IFNA(VLOOKUP($C40&amp;","&amp;M3,汇编指令!$C$2:$D$235,2,FALSE),"-1")</f>
        <v>-1</v>
      </c>
      <c r="N40" s="32" t="str">
        <f>_xlfn.IFNA(VLOOKUP($C40&amp;","&amp;N3,汇编指令!$C$2:$D$235,2,FALSE),"-1")</f>
        <v>-1</v>
      </c>
      <c r="O40" s="32" t="str">
        <f>_xlfn.IFNA(VLOOKUP($C40&amp;","&amp;O3,汇编指令!$C$2:$D$235,2,FALSE),"-1")</f>
        <v>-1</v>
      </c>
      <c r="P40" s="32" t="str">
        <f>_xlfn.IFNA(VLOOKUP($C40&amp;","&amp;P3,汇编指令!$C$2:$D$235,2,FALSE),"-1")</f>
        <v>-1</v>
      </c>
      <c r="Q40" s="32" t="str">
        <f>_xlfn.IFNA(VLOOKUP($C40&amp;","&amp;Q3,汇编指令!$C$2:$D$235,2,FALSE),"-1")</f>
        <v>-1</v>
      </c>
      <c r="R40" s="32" t="str">
        <f>_xlfn.IFNA(VLOOKUP($C40&amp;","&amp;R3,汇编指令!$C$2:$D$235,2,FALSE),"-1")</f>
        <v>-1</v>
      </c>
      <c r="S40" s="32" t="str">
        <f>_xlfn.IFNA(VLOOKUP($C40&amp;","&amp;S3,汇编指令!$C$2:$D$235,2,FALSE),"-1")</f>
        <v>-1</v>
      </c>
      <c r="T40" s="32" t="str">
        <f>_xlfn.IFNA(VLOOKUP($C40&amp;","&amp;T3,汇编指令!$C$2:$D$235,2,FALSE),"-1")</f>
        <v>-1</v>
      </c>
      <c r="U40" s="32" t="str">
        <f>_xlfn.IFNA(VLOOKUP($C40&amp;","&amp;U3,汇编指令!$C$2:$D$235,2,FALSE),"-1")</f>
        <v>-1</v>
      </c>
      <c r="V40" s="32" t="str">
        <f>_xlfn.IFNA(VLOOKUP($C40&amp;","&amp;V3,汇编指令!$C$2:$D$235,2,FALSE),"-1")</f>
        <v>-1</v>
      </c>
      <c r="W40" s="32" t="str">
        <f>_xlfn.IFNA(VLOOKUP($C40&amp;","&amp;W3,汇编指令!$C$2:$D$235,2,FALSE),"-1")</f>
        <v>-1</v>
      </c>
      <c r="X40" s="33" t="str">
        <f>_xlfn.IFNA(VLOOKUP($C40&amp;","&amp;X3,汇编指令!$C$2:$D$235,2,FALSE),"-1")</f>
        <v>40</v>
      </c>
      <c r="Y40" s="32" t="str">
        <f>_xlfn.IFNA(VLOOKUP($C40&amp;","&amp;Y3,汇编指令!$C$2:$D$235,2,FALSE),"-1")</f>
        <v>-1</v>
      </c>
      <c r="Z40" s="32" t="str">
        <f>_xlfn.IFNA(VLOOKUP($C40&amp;","&amp;Z3,汇编指令!$C$2:$D$235,2,FALSE),"-1")</f>
        <v>-1</v>
      </c>
      <c r="AA40" s="32" t="str">
        <f>_xlfn.IFNA(VLOOKUP($C40&amp;","&amp;AA3,汇编指令!$C$2:$D$235,2,FALSE),"-1")</f>
        <v>-1</v>
      </c>
      <c r="AB40" s="53" t="str">
        <f>_xlfn.IFNA(VLOOKUP($C40&amp;","&amp;AB3,汇编指令!$C$2:$D$235,2,FALSE),"-1")</f>
        <v>-1</v>
      </c>
    </row>
    <row r="41" ht="20" customHeight="1" spans="1:28">
      <c r="A41" s="16">
        <v>1</v>
      </c>
      <c r="B41" s="21">
        <f t="shared" si="1"/>
        <v>37</v>
      </c>
      <c r="C41" s="24" t="s">
        <v>956</v>
      </c>
      <c r="D41" s="23" t="str">
        <f t="shared" si="2"/>
        <v>25</v>
      </c>
      <c r="E41" s="34" t="str">
        <f>_xlfn.IFNA(VLOOKUP($C41&amp;","&amp;E3,汇编指令!$C$2:$D$235,2,FALSE),"-1")</f>
        <v>-1</v>
      </c>
      <c r="F41" s="32" t="str">
        <f>_xlfn.IFNA(VLOOKUP($C41&amp;","&amp;F3,汇编指令!$C$2:$D$235,2,FALSE),"-1")</f>
        <v>-1</v>
      </c>
      <c r="G41" s="32" t="str">
        <f>_xlfn.IFNA(VLOOKUP($C41&amp;","&amp;G3,汇编指令!$C$2:$D$235,2,FALSE),"-1")</f>
        <v>-1</v>
      </c>
      <c r="H41" s="32" t="str">
        <f>_xlfn.IFNA(VLOOKUP($C41&amp;","&amp;H3,汇编指令!$C$2:$D$235,2,FALSE),"-1")</f>
        <v>-1</v>
      </c>
      <c r="I41" s="32" t="str">
        <f>_xlfn.IFNA(VLOOKUP($C41&amp;","&amp;I3,汇编指令!$C$2:$D$235,2,FALSE),"-1")</f>
        <v>-1</v>
      </c>
      <c r="J41" s="32" t="str">
        <f>_xlfn.IFNA(VLOOKUP($C41&amp;","&amp;J3,汇编指令!$C$2:$D$235,2,FALSE),"-1")</f>
        <v>-1</v>
      </c>
      <c r="K41" s="32" t="str">
        <f>_xlfn.IFNA(VLOOKUP($C41&amp;","&amp;K3,汇编指令!$C$2:$D$235,2,FALSE),"-1")</f>
        <v>-1</v>
      </c>
      <c r="L41" s="32" t="str">
        <f>_xlfn.IFNA(VLOOKUP($C41&amp;","&amp;L3,汇编指令!$C$2:$D$235,2,FALSE),"-1")</f>
        <v>-1</v>
      </c>
      <c r="M41" s="32" t="str">
        <f>_xlfn.IFNA(VLOOKUP($C41&amp;","&amp;M3,汇编指令!$C$2:$D$235,2,FALSE),"-1")</f>
        <v>-1</v>
      </c>
      <c r="N41" s="32" t="str">
        <f>_xlfn.IFNA(VLOOKUP($C41&amp;","&amp;N3,汇编指令!$C$2:$D$235,2,FALSE),"-1")</f>
        <v>-1</v>
      </c>
      <c r="O41" s="32" t="str">
        <f>_xlfn.IFNA(VLOOKUP($C41&amp;","&amp;O3,汇编指令!$C$2:$D$235,2,FALSE),"-1")</f>
        <v>-1</v>
      </c>
      <c r="P41" s="32" t="str">
        <f>_xlfn.IFNA(VLOOKUP($C41&amp;","&amp;P3,汇编指令!$C$2:$D$235,2,FALSE),"-1")</f>
        <v>-1</v>
      </c>
      <c r="Q41" s="32" t="str">
        <f>_xlfn.IFNA(VLOOKUP($C41&amp;","&amp;Q3,汇编指令!$C$2:$D$235,2,FALSE),"-1")</f>
        <v>-1</v>
      </c>
      <c r="R41" s="32" t="str">
        <f>_xlfn.IFNA(VLOOKUP($C41&amp;","&amp;R3,汇编指令!$C$2:$D$235,2,FALSE),"-1")</f>
        <v>-1</v>
      </c>
      <c r="S41" s="32" t="str">
        <f>_xlfn.IFNA(VLOOKUP($C41&amp;","&amp;S3,汇编指令!$C$2:$D$235,2,FALSE),"-1")</f>
        <v>-1</v>
      </c>
      <c r="T41" s="32" t="str">
        <f>_xlfn.IFNA(VLOOKUP($C41&amp;","&amp;T3,汇编指令!$C$2:$D$235,2,FALSE),"-1")</f>
        <v>-1</v>
      </c>
      <c r="U41" s="33" t="str">
        <f>_xlfn.IFNA(VLOOKUP($C41&amp;","&amp;U3,汇编指令!$C$2:$D$235,2,FALSE),"-1")</f>
        <v>73</v>
      </c>
      <c r="V41" s="32" t="str">
        <f>_xlfn.IFNA(VLOOKUP($C41&amp;","&amp;V3,汇编指令!$C$2:$D$235,2,FALSE),"-1")</f>
        <v>-1</v>
      </c>
      <c r="W41" s="32" t="str">
        <f>_xlfn.IFNA(VLOOKUP($C41&amp;","&amp;W3,汇编指令!$C$2:$D$235,2,FALSE),"-1")</f>
        <v>-1</v>
      </c>
      <c r="X41" s="32" t="str">
        <f>_xlfn.IFNA(VLOOKUP($C41&amp;","&amp;X3,汇编指令!$C$2:$D$235,2,FALSE),"-1")</f>
        <v>-1</v>
      </c>
      <c r="Y41" s="32" t="str">
        <f>_xlfn.IFNA(VLOOKUP($C41&amp;","&amp;Y3,汇编指令!$C$2:$D$235,2,FALSE),"-1")</f>
        <v>-1</v>
      </c>
      <c r="Z41" s="32" t="str">
        <f>_xlfn.IFNA(VLOOKUP($C41&amp;","&amp;Z3,汇编指令!$C$2:$D$235,2,FALSE),"-1")</f>
        <v>-1</v>
      </c>
      <c r="AA41" s="32" t="str">
        <f>_xlfn.IFNA(VLOOKUP($C41&amp;","&amp;AA3,汇编指令!$C$2:$D$235,2,FALSE),"-1")</f>
        <v>-1</v>
      </c>
      <c r="AB41" s="53" t="str">
        <f>_xlfn.IFNA(VLOOKUP($C41&amp;","&amp;AB3,汇编指令!$C$2:$D$235,2,FALSE),"-1")</f>
        <v>-1</v>
      </c>
    </row>
    <row r="42" ht="20" customHeight="1" spans="1:28">
      <c r="A42" s="16">
        <v>1</v>
      </c>
      <c r="B42" s="21">
        <f t="shared" si="1"/>
        <v>38</v>
      </c>
      <c r="C42" s="24" t="s">
        <v>957</v>
      </c>
      <c r="D42" s="23" t="str">
        <f t="shared" si="2"/>
        <v>26</v>
      </c>
      <c r="E42" s="34" t="str">
        <f>_xlfn.IFNA(VLOOKUP($C42&amp;","&amp;E3,汇编指令!$C$2:$D$235,2,FALSE),"-1")</f>
        <v>-1</v>
      </c>
      <c r="F42" s="32" t="str">
        <f>_xlfn.IFNA(VLOOKUP($C42&amp;","&amp;F3,汇编指令!$C$2:$D$235,2,FALSE),"-1")</f>
        <v>-1</v>
      </c>
      <c r="G42" s="32" t="str">
        <f>_xlfn.IFNA(VLOOKUP($C42&amp;","&amp;G3,汇编指令!$C$2:$D$235,2,FALSE),"-1")</f>
        <v>-1</v>
      </c>
      <c r="H42" s="32" t="str">
        <f>_xlfn.IFNA(VLOOKUP($C42&amp;","&amp;H3,汇编指令!$C$2:$D$235,2,FALSE),"-1")</f>
        <v>-1</v>
      </c>
      <c r="I42" s="32" t="str">
        <f>_xlfn.IFNA(VLOOKUP($C42&amp;","&amp;I3,汇编指令!$C$2:$D$235,2,FALSE),"-1")</f>
        <v>-1</v>
      </c>
      <c r="J42" s="32" t="str">
        <f>_xlfn.IFNA(VLOOKUP($C42&amp;","&amp;J3,汇编指令!$C$2:$D$235,2,FALSE),"-1")</f>
        <v>-1</v>
      </c>
      <c r="K42" s="32" t="str">
        <f>_xlfn.IFNA(VLOOKUP($C42&amp;","&amp;K3,汇编指令!$C$2:$D$235,2,FALSE),"-1")</f>
        <v>-1</v>
      </c>
      <c r="L42" s="32" t="str">
        <f>_xlfn.IFNA(VLOOKUP($C42&amp;","&amp;L3,汇编指令!$C$2:$D$235,2,FALSE),"-1")</f>
        <v>-1</v>
      </c>
      <c r="M42" s="32" t="str">
        <f>_xlfn.IFNA(VLOOKUP($C42&amp;","&amp;M3,汇编指令!$C$2:$D$235,2,FALSE),"-1")</f>
        <v>-1</v>
      </c>
      <c r="N42" s="32" t="str">
        <f>_xlfn.IFNA(VLOOKUP($C42&amp;","&amp;N3,汇编指令!$C$2:$D$235,2,FALSE),"-1")</f>
        <v>-1</v>
      </c>
      <c r="O42" s="32" t="str">
        <f>_xlfn.IFNA(VLOOKUP($C42&amp;","&amp;O3,汇编指令!$C$2:$D$235,2,FALSE),"-1")</f>
        <v>-1</v>
      </c>
      <c r="P42" s="32" t="str">
        <f>_xlfn.IFNA(VLOOKUP($C42&amp;","&amp;P3,汇编指令!$C$2:$D$235,2,FALSE),"-1")</f>
        <v>-1</v>
      </c>
      <c r="Q42" s="32" t="str">
        <f>_xlfn.IFNA(VLOOKUP($C42&amp;","&amp;Q3,汇编指令!$C$2:$D$235,2,FALSE),"-1")</f>
        <v>-1</v>
      </c>
      <c r="R42" s="32" t="str">
        <f>_xlfn.IFNA(VLOOKUP($C42&amp;","&amp;R3,汇编指令!$C$2:$D$235,2,FALSE),"-1")</f>
        <v>-1</v>
      </c>
      <c r="S42" s="32" t="str">
        <f>_xlfn.IFNA(VLOOKUP($C42&amp;","&amp;S3,汇编指令!$C$2:$D$235,2,FALSE),"-1")</f>
        <v>-1</v>
      </c>
      <c r="T42" s="32" t="str">
        <f>_xlfn.IFNA(VLOOKUP($C42&amp;","&amp;T3,汇编指令!$C$2:$D$235,2,FALSE),"-1")</f>
        <v>-1</v>
      </c>
      <c r="U42" s="32" t="str">
        <f>_xlfn.IFNA(VLOOKUP($C42&amp;","&amp;U3,汇编指令!$C$2:$D$235,2,FALSE),"-1")</f>
        <v>-1</v>
      </c>
      <c r="V42" s="32" t="str">
        <f>_xlfn.IFNA(VLOOKUP($C42&amp;","&amp;V3,汇编指令!$C$2:$D$235,2,FALSE),"-1")</f>
        <v>-1</v>
      </c>
      <c r="W42" s="32" t="str">
        <f>_xlfn.IFNA(VLOOKUP($C42&amp;","&amp;W3,汇编指令!$C$2:$D$235,2,FALSE),"-1")</f>
        <v>-1</v>
      </c>
      <c r="X42" s="33" t="str">
        <f>_xlfn.IFNA(VLOOKUP($C42&amp;","&amp;X3,汇编指令!$C$2:$D$235,2,FALSE),"-1")</f>
        <v>50</v>
      </c>
      <c r="Y42" s="32" t="str">
        <f>_xlfn.IFNA(VLOOKUP($C42&amp;","&amp;Y3,汇编指令!$C$2:$D$235,2,FALSE),"-1")</f>
        <v>-1</v>
      </c>
      <c r="Z42" s="32" t="str">
        <f>_xlfn.IFNA(VLOOKUP($C42&amp;","&amp;Z3,汇编指令!$C$2:$D$235,2,FALSE),"-1")</f>
        <v>-1</v>
      </c>
      <c r="AA42" s="32" t="str">
        <f>_xlfn.IFNA(VLOOKUP($C42&amp;","&amp;AA3,汇编指令!$C$2:$D$235,2,FALSE),"-1")</f>
        <v>-1</v>
      </c>
      <c r="AB42" s="53" t="str">
        <f>_xlfn.IFNA(VLOOKUP($C42&amp;","&amp;AB3,汇编指令!$C$2:$D$235,2,FALSE),"-1")</f>
        <v>-1</v>
      </c>
    </row>
    <row r="43" ht="20" customHeight="1" spans="1:28">
      <c r="A43" s="16">
        <v>1</v>
      </c>
      <c r="B43" s="21">
        <f t="shared" si="1"/>
        <v>39</v>
      </c>
      <c r="C43" s="24" t="s">
        <v>958</v>
      </c>
      <c r="D43" s="23" t="str">
        <f t="shared" si="2"/>
        <v>27</v>
      </c>
      <c r="E43" s="34" t="str">
        <f>_xlfn.IFNA(VLOOKUP($C43&amp;","&amp;E3,汇编指令!$C$2:$D$235,2,FALSE),"-1")</f>
        <v>-1</v>
      </c>
      <c r="F43" s="32" t="str">
        <f>_xlfn.IFNA(VLOOKUP($C43&amp;","&amp;F3,汇编指令!$C$2:$D$235,2,FALSE),"-1")</f>
        <v>-1</v>
      </c>
      <c r="G43" s="32" t="str">
        <f>_xlfn.IFNA(VLOOKUP($C43&amp;","&amp;G3,汇编指令!$C$2:$D$235,2,FALSE),"-1")</f>
        <v>-1</v>
      </c>
      <c r="H43" s="32" t="str">
        <f>_xlfn.IFNA(VLOOKUP($C43&amp;","&amp;H3,汇编指令!$C$2:$D$235,2,FALSE),"-1")</f>
        <v>-1</v>
      </c>
      <c r="I43" s="32" t="str">
        <f>_xlfn.IFNA(VLOOKUP($C43&amp;","&amp;I3,汇编指令!$C$2:$D$235,2,FALSE),"-1")</f>
        <v>-1</v>
      </c>
      <c r="J43" s="32" t="str">
        <f>_xlfn.IFNA(VLOOKUP($C43&amp;","&amp;J3,汇编指令!$C$2:$D$235,2,FALSE),"-1")</f>
        <v>-1</v>
      </c>
      <c r="K43" s="32" t="str">
        <f>_xlfn.IFNA(VLOOKUP($C43&amp;","&amp;K3,汇编指令!$C$2:$D$235,2,FALSE),"-1")</f>
        <v>-1</v>
      </c>
      <c r="L43" s="32" t="str">
        <f>_xlfn.IFNA(VLOOKUP($C43&amp;","&amp;L3,汇编指令!$C$2:$D$235,2,FALSE),"-1")</f>
        <v>-1</v>
      </c>
      <c r="M43" s="32" t="str">
        <f>_xlfn.IFNA(VLOOKUP($C43&amp;","&amp;M3,汇编指令!$C$2:$D$235,2,FALSE),"-1")</f>
        <v>-1</v>
      </c>
      <c r="N43" s="32" t="str">
        <f>_xlfn.IFNA(VLOOKUP($C43&amp;","&amp;N3,汇编指令!$C$2:$D$235,2,FALSE),"-1")</f>
        <v>-1</v>
      </c>
      <c r="O43" s="32" t="str">
        <f>_xlfn.IFNA(VLOOKUP($C43&amp;","&amp;O3,汇编指令!$C$2:$D$235,2,FALSE),"-1")</f>
        <v>-1</v>
      </c>
      <c r="P43" s="32" t="str">
        <f>_xlfn.IFNA(VLOOKUP($C43&amp;","&amp;P3,汇编指令!$C$2:$D$235,2,FALSE),"-1")</f>
        <v>-1</v>
      </c>
      <c r="Q43" s="32" t="str">
        <f>_xlfn.IFNA(VLOOKUP($C43&amp;","&amp;Q3,汇编指令!$C$2:$D$235,2,FALSE),"-1")</f>
        <v>-1</v>
      </c>
      <c r="R43" s="32" t="str">
        <f>_xlfn.IFNA(VLOOKUP($C43&amp;","&amp;R3,汇编指令!$C$2:$D$235,2,FALSE),"-1")</f>
        <v>-1</v>
      </c>
      <c r="S43" s="32" t="str">
        <f>_xlfn.IFNA(VLOOKUP($C43&amp;","&amp;S3,汇编指令!$C$2:$D$235,2,FALSE),"-1")</f>
        <v>-1</v>
      </c>
      <c r="T43" s="32" t="str">
        <f>_xlfn.IFNA(VLOOKUP($C43&amp;","&amp;T3,汇编指令!$C$2:$D$235,2,FALSE),"-1")</f>
        <v>-1</v>
      </c>
      <c r="U43" s="32" t="str">
        <f>_xlfn.IFNA(VLOOKUP($C43&amp;","&amp;U3,汇编指令!$C$2:$D$235,2,FALSE),"-1")</f>
        <v>-1</v>
      </c>
      <c r="V43" s="32" t="str">
        <f>_xlfn.IFNA(VLOOKUP($C43&amp;","&amp;V3,汇编指令!$C$2:$D$235,2,FALSE),"-1")</f>
        <v>-1</v>
      </c>
      <c r="W43" s="32" t="str">
        <f>_xlfn.IFNA(VLOOKUP($C43&amp;","&amp;W3,汇编指令!$C$2:$D$235,2,FALSE),"-1")</f>
        <v>-1</v>
      </c>
      <c r="X43" s="33" t="str">
        <f>_xlfn.IFNA(VLOOKUP($C43&amp;","&amp;X3,汇编指令!$C$2:$D$235,2,FALSE),"-1")</f>
        <v>70</v>
      </c>
      <c r="Y43" s="32" t="str">
        <f>_xlfn.IFNA(VLOOKUP($C43&amp;","&amp;Y3,汇编指令!$C$2:$D$235,2,FALSE),"-1")</f>
        <v>-1</v>
      </c>
      <c r="Z43" s="32" t="str">
        <f>_xlfn.IFNA(VLOOKUP($C43&amp;","&amp;Z3,汇编指令!$C$2:$D$235,2,FALSE),"-1")</f>
        <v>-1</v>
      </c>
      <c r="AA43" s="32" t="str">
        <f>_xlfn.IFNA(VLOOKUP($C43&amp;","&amp;AA3,汇编指令!$C$2:$D$235,2,FALSE),"-1")</f>
        <v>-1</v>
      </c>
      <c r="AB43" s="53" t="str">
        <f>_xlfn.IFNA(VLOOKUP($C43&amp;","&amp;AB3,汇编指令!$C$2:$D$235,2,FALSE),"-1")</f>
        <v>-1</v>
      </c>
    </row>
    <row r="44" ht="20" customHeight="1" spans="1:28">
      <c r="A44" s="16">
        <v>1</v>
      </c>
      <c r="B44" s="21">
        <f t="shared" si="1"/>
        <v>40</v>
      </c>
      <c r="C44" s="24" t="s">
        <v>959</v>
      </c>
      <c r="D44" s="23" t="str">
        <f t="shared" si="2"/>
        <v>28</v>
      </c>
      <c r="E44" s="34" t="str">
        <f>_xlfn.IFNA(VLOOKUP($C44&amp;","&amp;E3,汇编指令!$C$2:$D$235,2,FALSE),"-1")</f>
        <v>-1</v>
      </c>
      <c r="F44" s="32" t="str">
        <f>_xlfn.IFNA(VLOOKUP($C44&amp;","&amp;F3,汇编指令!$C$2:$D$235,2,FALSE),"-1")</f>
        <v>-1</v>
      </c>
      <c r="G44" s="32" t="str">
        <f>_xlfn.IFNA(VLOOKUP($C44&amp;","&amp;G3,汇编指令!$C$2:$D$235,2,FALSE),"-1")</f>
        <v>-1</v>
      </c>
      <c r="H44" s="32" t="str">
        <f>_xlfn.IFNA(VLOOKUP($C44&amp;","&amp;H3,汇编指令!$C$2:$D$235,2,FALSE),"-1")</f>
        <v>-1</v>
      </c>
      <c r="I44" s="32" t="str">
        <f>_xlfn.IFNA(VLOOKUP($C44&amp;","&amp;I3,汇编指令!$C$2:$D$235,2,FALSE),"-1")</f>
        <v>-1</v>
      </c>
      <c r="J44" s="32" t="str">
        <f>_xlfn.IFNA(VLOOKUP($C44&amp;","&amp;J3,汇编指令!$C$2:$D$235,2,FALSE),"-1")</f>
        <v>-1</v>
      </c>
      <c r="K44" s="32" t="str">
        <f>_xlfn.IFNA(VLOOKUP($C44&amp;","&amp;K3,汇编指令!$C$2:$D$235,2,FALSE),"-1")</f>
        <v>-1</v>
      </c>
      <c r="L44" s="32" t="str">
        <f>_xlfn.IFNA(VLOOKUP($C44&amp;","&amp;L3,汇编指令!$C$2:$D$235,2,FALSE),"-1")</f>
        <v>-1</v>
      </c>
      <c r="M44" s="32" t="str">
        <f>_xlfn.IFNA(VLOOKUP($C44&amp;","&amp;M3,汇编指令!$C$2:$D$235,2,FALSE),"-1")</f>
        <v>-1</v>
      </c>
      <c r="N44" s="32" t="str">
        <f>_xlfn.IFNA(VLOOKUP($C44&amp;","&amp;N3,汇编指令!$C$2:$D$235,2,FALSE),"-1")</f>
        <v>-1</v>
      </c>
      <c r="O44" s="32" t="str">
        <f>_xlfn.IFNA(VLOOKUP($C44&amp;","&amp;O3,汇编指令!$C$2:$D$235,2,FALSE),"-1")</f>
        <v>-1</v>
      </c>
      <c r="P44" s="32" t="str">
        <f>_xlfn.IFNA(VLOOKUP($C44&amp;","&amp;P3,汇编指令!$C$2:$D$235,2,FALSE),"-1")</f>
        <v>-1</v>
      </c>
      <c r="Q44" s="32" t="str">
        <f>_xlfn.IFNA(VLOOKUP($C44&amp;","&amp;Q3,汇编指令!$C$2:$D$235,2,FALSE),"-1")</f>
        <v>-1</v>
      </c>
      <c r="R44" s="32" t="str">
        <f>_xlfn.IFNA(VLOOKUP($C44&amp;","&amp;R3,汇编指令!$C$2:$D$235,2,FALSE),"-1")</f>
        <v>-1</v>
      </c>
      <c r="S44" s="32" t="str">
        <f>_xlfn.IFNA(VLOOKUP($C44&amp;","&amp;S3,汇编指令!$C$2:$D$235,2,FALSE),"-1")</f>
        <v>-1</v>
      </c>
      <c r="T44" s="32" t="str">
        <f>_xlfn.IFNA(VLOOKUP($C44&amp;","&amp;T3,汇编指令!$C$2:$D$235,2,FALSE),"-1")</f>
        <v>-1</v>
      </c>
      <c r="U44" s="32" t="str">
        <f>_xlfn.IFNA(VLOOKUP($C44&amp;","&amp;U3,汇编指令!$C$2:$D$235,2,FALSE),"-1")</f>
        <v>-1</v>
      </c>
      <c r="V44" s="32" t="str">
        <f>_xlfn.IFNA(VLOOKUP($C44&amp;","&amp;V3,汇编指令!$C$2:$D$235,2,FALSE),"-1")</f>
        <v>-1</v>
      </c>
      <c r="W44" s="32" t="str">
        <f>_xlfn.IFNA(VLOOKUP($C44&amp;","&amp;W3,汇编指令!$C$2:$D$235,2,FALSE),"-1")</f>
        <v>-1</v>
      </c>
      <c r="X44" s="33" t="str">
        <f>_xlfn.IFNA(VLOOKUP($C44&amp;","&amp;X3,汇编指令!$C$2:$D$235,2,FALSE),"-1")</f>
        <v>60</v>
      </c>
      <c r="Y44" s="32" t="str">
        <f>_xlfn.IFNA(VLOOKUP($C44&amp;","&amp;Y3,汇编指令!$C$2:$D$235,2,FALSE),"-1")</f>
        <v>-1</v>
      </c>
      <c r="Z44" s="32" t="str">
        <f>_xlfn.IFNA(VLOOKUP($C44&amp;","&amp;Z3,汇编指令!$C$2:$D$235,2,FALSE),"-1")</f>
        <v>-1</v>
      </c>
      <c r="AA44" s="32" t="str">
        <f>_xlfn.IFNA(VLOOKUP($C44&amp;","&amp;AA3,汇编指令!$C$2:$D$235,2,FALSE),"-1")</f>
        <v>-1</v>
      </c>
      <c r="AB44" s="53" t="str">
        <f>_xlfn.IFNA(VLOOKUP($C44&amp;","&amp;AB3,汇编指令!$C$2:$D$235,2,FALSE),"-1")</f>
        <v>-1</v>
      </c>
    </row>
    <row r="45" ht="20" customHeight="1" spans="1:28">
      <c r="A45" s="16">
        <v>1</v>
      </c>
      <c r="B45" s="21">
        <f t="shared" si="1"/>
        <v>41</v>
      </c>
      <c r="C45" s="24" t="s">
        <v>960</v>
      </c>
      <c r="D45" s="23" t="str">
        <f t="shared" si="2"/>
        <v>29</v>
      </c>
      <c r="E45" s="34" t="str">
        <f>_xlfn.IFNA(VLOOKUP($C45&amp;","&amp;E3,汇编指令!$C$2:$D$235,2,FALSE),"-1")</f>
        <v>-1</v>
      </c>
      <c r="F45" s="32" t="str">
        <f>_xlfn.IFNA(VLOOKUP($C45&amp;","&amp;F3,汇编指令!$C$2:$D$235,2,FALSE),"-1")</f>
        <v>-1</v>
      </c>
      <c r="G45" s="32" t="str">
        <f>_xlfn.IFNA(VLOOKUP($C45&amp;","&amp;G3,汇编指令!$C$2:$D$235,2,FALSE),"-1")</f>
        <v>-1</v>
      </c>
      <c r="H45" s="32" t="str">
        <f>_xlfn.IFNA(VLOOKUP($C45&amp;","&amp;H3,汇编指令!$C$2:$D$235,2,FALSE),"-1")</f>
        <v>-1</v>
      </c>
      <c r="I45" s="32" t="str">
        <f>_xlfn.IFNA(VLOOKUP($C45&amp;","&amp;I3,汇编指令!$C$2:$D$235,2,FALSE),"-1")</f>
        <v>-1</v>
      </c>
      <c r="J45" s="32" t="str">
        <f>_xlfn.IFNA(VLOOKUP($C45&amp;","&amp;J3,汇编指令!$C$2:$D$235,2,FALSE),"-1")</f>
        <v>-1</v>
      </c>
      <c r="K45" s="32" t="str">
        <f>_xlfn.IFNA(VLOOKUP($C45&amp;","&amp;K3,汇编指令!$C$2:$D$235,2,FALSE),"-1")</f>
        <v>-1</v>
      </c>
      <c r="L45" s="32" t="str">
        <f>_xlfn.IFNA(VLOOKUP($C45&amp;","&amp;L3,汇编指令!$C$2:$D$235,2,FALSE),"-1")</f>
        <v>-1</v>
      </c>
      <c r="M45" s="32" t="str">
        <f>_xlfn.IFNA(VLOOKUP($C45&amp;","&amp;M3,汇编指令!$C$2:$D$235,2,FALSE),"-1")</f>
        <v>-1</v>
      </c>
      <c r="N45" s="32" t="str">
        <f>_xlfn.IFNA(VLOOKUP($C45&amp;","&amp;N3,汇编指令!$C$2:$D$235,2,FALSE),"-1")</f>
        <v>-1</v>
      </c>
      <c r="O45" s="32" t="str">
        <f>_xlfn.IFNA(VLOOKUP($C45&amp;","&amp;O3,汇编指令!$C$2:$D$235,2,FALSE),"-1")</f>
        <v>-1</v>
      </c>
      <c r="P45" s="32" t="str">
        <f>_xlfn.IFNA(VLOOKUP($C45&amp;","&amp;P3,汇编指令!$C$2:$D$235,2,FALSE),"-1")</f>
        <v>-1</v>
      </c>
      <c r="Q45" s="32" t="str">
        <f>_xlfn.IFNA(VLOOKUP($C45&amp;","&amp;Q3,汇编指令!$C$2:$D$235,2,FALSE),"-1")</f>
        <v>-1</v>
      </c>
      <c r="R45" s="32" t="str">
        <f>_xlfn.IFNA(VLOOKUP($C45&amp;","&amp;R3,汇编指令!$C$2:$D$235,2,FALSE),"-1")</f>
        <v>-1</v>
      </c>
      <c r="S45" s="32" t="str">
        <f>_xlfn.IFNA(VLOOKUP($C45&amp;","&amp;S3,汇编指令!$C$2:$D$235,2,FALSE),"-1")</f>
        <v>-1</v>
      </c>
      <c r="T45" s="32" t="str">
        <f>_xlfn.IFNA(VLOOKUP($C45&amp;","&amp;T3,汇编指令!$C$2:$D$235,2,FALSE),"-1")</f>
        <v>-1</v>
      </c>
      <c r="U45" s="32" t="str">
        <f>_xlfn.IFNA(VLOOKUP($C45&amp;","&amp;U3,汇编指令!$C$2:$D$235,2,FALSE),"-1")</f>
        <v>-1</v>
      </c>
      <c r="V45" s="32" t="str">
        <f>_xlfn.IFNA(VLOOKUP($C45&amp;","&amp;V3,汇编指令!$C$2:$D$235,2,FALSE),"-1")</f>
        <v>-1</v>
      </c>
      <c r="W45" s="33" t="str">
        <f>_xlfn.IFNA(VLOOKUP($C45&amp;","&amp;W3,汇编指令!$C$2:$D$235,2,FALSE),"-1")</f>
        <v>12</v>
      </c>
      <c r="X45" s="32" t="str">
        <f>_xlfn.IFNA(VLOOKUP($C45&amp;","&amp;X3,汇编指令!$C$2:$D$235,2,FALSE),"-1")</f>
        <v>-1</v>
      </c>
      <c r="Y45" s="32" t="str">
        <f>_xlfn.IFNA(VLOOKUP($C45&amp;","&amp;Y3,汇编指令!$C$2:$D$235,2,FALSE),"-1")</f>
        <v>-1</v>
      </c>
      <c r="Z45" s="32" t="str">
        <f>_xlfn.IFNA(VLOOKUP($C45&amp;","&amp;Z3,汇编指令!$C$2:$D$235,2,FALSE),"-1")</f>
        <v>-1</v>
      </c>
      <c r="AA45" s="32" t="str">
        <f>_xlfn.IFNA(VLOOKUP($C45&amp;","&amp;AA3,汇编指令!$C$2:$D$235,2,FALSE),"-1")</f>
        <v>-1</v>
      </c>
      <c r="AB45" s="53" t="str">
        <f>_xlfn.IFNA(VLOOKUP($C45&amp;","&amp;AB3,汇编指令!$C$2:$D$235,2,FALSE),"-1")</f>
        <v>-1</v>
      </c>
    </row>
    <row r="46" ht="20" customHeight="1" spans="1:28">
      <c r="A46" s="16">
        <v>1</v>
      </c>
      <c r="B46" s="21">
        <f t="shared" si="1"/>
        <v>42</v>
      </c>
      <c r="C46" s="24" t="s">
        <v>961</v>
      </c>
      <c r="D46" s="23" t="str">
        <f t="shared" si="2"/>
        <v>2A</v>
      </c>
      <c r="E46" s="34" t="str">
        <f>_xlfn.IFNA(VLOOKUP($C46&amp;","&amp;E3,汇编指令!$C$2:$D$235,2,FALSE),"-1")</f>
        <v>-1</v>
      </c>
      <c r="F46" s="32" t="str">
        <f>_xlfn.IFNA(VLOOKUP($C46&amp;","&amp;F3,汇编指令!$C$2:$D$235,2,FALSE),"-1")</f>
        <v>-1</v>
      </c>
      <c r="G46" s="32" t="str">
        <f>_xlfn.IFNA(VLOOKUP($C46&amp;","&amp;G3,汇编指令!$C$2:$D$235,2,FALSE),"-1")</f>
        <v>-1</v>
      </c>
      <c r="H46" s="32" t="str">
        <f>_xlfn.IFNA(VLOOKUP($C46&amp;","&amp;H3,汇编指令!$C$2:$D$235,2,FALSE),"-1")</f>
        <v>-1</v>
      </c>
      <c r="I46" s="32" t="str">
        <f>_xlfn.IFNA(VLOOKUP($C46&amp;","&amp;I3,汇编指令!$C$2:$D$235,2,FALSE),"-1")</f>
        <v>-1</v>
      </c>
      <c r="J46" s="32" t="str">
        <f>_xlfn.IFNA(VLOOKUP($C46&amp;","&amp;J3,汇编指令!$C$2:$D$235,2,FALSE),"-1")</f>
        <v>-1</v>
      </c>
      <c r="K46" s="32" t="str">
        <f>_xlfn.IFNA(VLOOKUP($C46&amp;","&amp;K3,汇编指令!$C$2:$D$235,2,FALSE),"-1")</f>
        <v>-1</v>
      </c>
      <c r="L46" s="32" t="str">
        <f>_xlfn.IFNA(VLOOKUP($C46&amp;","&amp;L3,汇编指令!$C$2:$D$235,2,FALSE),"-1")</f>
        <v>-1</v>
      </c>
      <c r="M46" s="32" t="str">
        <f>_xlfn.IFNA(VLOOKUP($C46&amp;","&amp;M3,汇编指令!$C$2:$D$235,2,FALSE),"-1")</f>
        <v>-1</v>
      </c>
      <c r="N46" s="32" t="str">
        <f>_xlfn.IFNA(VLOOKUP($C46&amp;","&amp;N3,汇编指令!$C$2:$D$235,2,FALSE),"-1")</f>
        <v>-1</v>
      </c>
      <c r="O46" s="32" t="str">
        <f>_xlfn.IFNA(VLOOKUP($C46&amp;","&amp;O3,汇编指令!$C$2:$D$235,2,FALSE),"-1")</f>
        <v>-1</v>
      </c>
      <c r="P46" s="32" t="str">
        <f>_xlfn.IFNA(VLOOKUP($C46&amp;","&amp;P3,汇编指令!$C$2:$D$235,2,FALSE),"-1")</f>
        <v>-1</v>
      </c>
      <c r="Q46" s="32" t="str">
        <f>_xlfn.IFNA(VLOOKUP($C46&amp;","&amp;Q3,汇编指令!$C$2:$D$235,2,FALSE),"-1")</f>
        <v>-1</v>
      </c>
      <c r="R46" s="32" t="str">
        <f>_xlfn.IFNA(VLOOKUP($C46&amp;","&amp;R3,汇编指令!$C$2:$D$235,2,FALSE),"-1")</f>
        <v>-1</v>
      </c>
      <c r="S46" s="32" t="str">
        <f>_xlfn.IFNA(VLOOKUP($C46&amp;","&amp;S3,汇编指令!$C$2:$D$235,2,FALSE),"-1")</f>
        <v>-1</v>
      </c>
      <c r="T46" s="32" t="str">
        <f>_xlfn.IFNA(VLOOKUP($C46&amp;","&amp;T3,汇编指令!$C$2:$D$235,2,FALSE),"-1")</f>
        <v>-1</v>
      </c>
      <c r="U46" s="32" t="str">
        <f>_xlfn.IFNA(VLOOKUP($C46&amp;","&amp;U3,汇编指令!$C$2:$D$235,2,FALSE),"-1")</f>
        <v>-1</v>
      </c>
      <c r="V46" s="32" t="str">
        <f>_xlfn.IFNA(VLOOKUP($C46&amp;","&amp;V3,汇编指令!$C$2:$D$235,2,FALSE),"-1")</f>
        <v>-1</v>
      </c>
      <c r="W46" s="33" t="str">
        <f>_xlfn.IFNA(VLOOKUP($C46&amp;","&amp;W3,汇编指令!$C$2:$D$235,2,FALSE),"-1")</f>
        <v>2</v>
      </c>
      <c r="X46" s="32" t="str">
        <f>_xlfn.IFNA(VLOOKUP($C46&amp;","&amp;X3,汇编指令!$C$2:$D$235,2,FALSE),"-1")</f>
        <v>-1</v>
      </c>
      <c r="Y46" s="32" t="str">
        <f>_xlfn.IFNA(VLOOKUP($C46&amp;","&amp;Y3,汇编指令!$C$2:$D$235,2,FALSE),"-1")</f>
        <v>-1</v>
      </c>
      <c r="Z46" s="32" t="str">
        <f>_xlfn.IFNA(VLOOKUP($C46&amp;","&amp;Z3,汇编指令!$C$2:$D$235,2,FALSE),"-1")</f>
        <v>-1</v>
      </c>
      <c r="AA46" s="32" t="str">
        <f>_xlfn.IFNA(VLOOKUP($C46&amp;","&amp;AA3,汇编指令!$C$2:$D$235,2,FALSE),"-1")</f>
        <v>-1</v>
      </c>
      <c r="AB46" s="53" t="str">
        <f>_xlfn.IFNA(VLOOKUP($C46&amp;","&amp;AB3,汇编指令!$C$2:$D$235,2,FALSE),"-1")</f>
        <v>-1</v>
      </c>
    </row>
    <row r="47" ht="20" customHeight="1" spans="1:28">
      <c r="A47" s="16">
        <v>1</v>
      </c>
      <c r="B47" s="21">
        <f t="shared" si="1"/>
        <v>43</v>
      </c>
      <c r="C47" s="24" t="s">
        <v>962</v>
      </c>
      <c r="D47" s="23" t="str">
        <f t="shared" si="2"/>
        <v>2B</v>
      </c>
      <c r="E47" s="34" t="str">
        <f>_xlfn.IFNA(VLOOKUP($C47&amp;","&amp;E3,汇编指令!$C$2:$D$235,2,FALSE),"-1")</f>
        <v>-1</v>
      </c>
      <c r="F47" s="32" t="str">
        <f>_xlfn.IFNA(VLOOKUP($C47&amp;","&amp;F3,汇编指令!$C$2:$D$235,2,FALSE),"-1")</f>
        <v>-1</v>
      </c>
      <c r="G47" s="32" t="str">
        <f>_xlfn.IFNA(VLOOKUP($C47&amp;","&amp;G3,汇编指令!$C$2:$D$235,2,FALSE),"-1")</f>
        <v>-1</v>
      </c>
      <c r="H47" s="32" t="str">
        <f>_xlfn.IFNA(VLOOKUP($C47&amp;","&amp;H3,汇编指令!$C$2:$D$235,2,FALSE),"-1")</f>
        <v>-1</v>
      </c>
      <c r="I47" s="32" t="str">
        <f>_xlfn.IFNA(VLOOKUP($C47&amp;","&amp;I3,汇编指令!$C$2:$D$235,2,FALSE),"-1")</f>
        <v>-1</v>
      </c>
      <c r="J47" s="32" t="str">
        <f>_xlfn.IFNA(VLOOKUP($C47&amp;","&amp;J3,汇编指令!$C$2:$D$235,2,FALSE),"-1")</f>
        <v>-1</v>
      </c>
      <c r="K47" s="32" t="str">
        <f>_xlfn.IFNA(VLOOKUP($C47&amp;","&amp;K3,汇编指令!$C$2:$D$235,2,FALSE),"-1")</f>
        <v>-1</v>
      </c>
      <c r="L47" s="32" t="str">
        <f>_xlfn.IFNA(VLOOKUP($C47&amp;","&amp;L3,汇编指令!$C$2:$D$235,2,FALSE),"-1")</f>
        <v>-1</v>
      </c>
      <c r="M47" s="32" t="str">
        <f>_xlfn.IFNA(VLOOKUP($C47&amp;","&amp;M3,汇编指令!$C$2:$D$235,2,FALSE),"-1")</f>
        <v>-1</v>
      </c>
      <c r="N47" s="32" t="str">
        <f>_xlfn.IFNA(VLOOKUP($C47&amp;","&amp;N3,汇编指令!$C$2:$D$235,2,FALSE),"-1")</f>
        <v>-1</v>
      </c>
      <c r="O47" s="32" t="str">
        <f>_xlfn.IFNA(VLOOKUP($C47&amp;","&amp;O3,汇编指令!$C$2:$D$235,2,FALSE),"-1")</f>
        <v>-1</v>
      </c>
      <c r="P47" s="32" t="str">
        <f>_xlfn.IFNA(VLOOKUP($C47&amp;","&amp;P3,汇编指令!$C$2:$D$235,2,FALSE),"-1")</f>
        <v>-1</v>
      </c>
      <c r="Q47" s="32" t="str">
        <f>_xlfn.IFNA(VLOOKUP($C47&amp;","&amp;Q3,汇编指令!$C$2:$D$235,2,FALSE),"-1")</f>
        <v>-1</v>
      </c>
      <c r="R47" s="32" t="str">
        <f>_xlfn.IFNA(VLOOKUP($C47&amp;","&amp;R3,汇编指令!$C$2:$D$235,2,FALSE),"-1")</f>
        <v>-1</v>
      </c>
      <c r="S47" s="32" t="str">
        <f>_xlfn.IFNA(VLOOKUP($C47&amp;","&amp;S3,汇编指令!$C$2:$D$235,2,FALSE),"-1")</f>
        <v>-1</v>
      </c>
      <c r="T47" s="32" t="str">
        <f>_xlfn.IFNA(VLOOKUP($C47&amp;","&amp;T3,汇编指令!$C$2:$D$235,2,FALSE),"-1")</f>
        <v>-1</v>
      </c>
      <c r="U47" s="32" t="str">
        <f>_xlfn.IFNA(VLOOKUP($C47&amp;","&amp;U3,汇编指令!$C$2:$D$235,2,FALSE),"-1")</f>
        <v>-1</v>
      </c>
      <c r="V47" s="32" t="str">
        <f>_xlfn.IFNA(VLOOKUP($C47&amp;","&amp;V3,汇编指令!$C$2:$D$235,2,FALSE),"-1")</f>
        <v>-1</v>
      </c>
      <c r="W47" s="32" t="str">
        <f>_xlfn.IFNA(VLOOKUP($C47&amp;","&amp;W3,汇编指令!$C$2:$D$235,2,FALSE),"-1")</f>
        <v>-1</v>
      </c>
      <c r="X47" s="32" t="str">
        <f>_xlfn.IFNA(VLOOKUP($C47&amp;","&amp;X3,汇编指令!$C$2:$D$235,2,FALSE),"-1")</f>
        <v>-1</v>
      </c>
      <c r="Y47" s="32" t="str">
        <f>_xlfn.IFNA(VLOOKUP($C47&amp;","&amp;Y3,汇编指令!$C$2:$D$235,2,FALSE),"-1")</f>
        <v>-1</v>
      </c>
      <c r="Z47" s="32" t="str">
        <f>_xlfn.IFNA(VLOOKUP($C47&amp;","&amp;Z3,汇编指令!$C$2:$D$235,2,FALSE),"-1")</f>
        <v>-1</v>
      </c>
      <c r="AA47" s="33" t="str">
        <f>_xlfn.IFNA(VLOOKUP($C47&amp;","&amp;AA3,汇编指令!$C$2:$D$235,2,FALSE),"-1")</f>
        <v>A4</v>
      </c>
      <c r="AB47" s="54" t="str">
        <f>_xlfn.IFNA(VLOOKUP($C47&amp;","&amp;AB3,汇编指令!$C$2:$D$235,2,FALSE),"-1")</f>
        <v>-1</v>
      </c>
    </row>
    <row r="48" ht="20" customHeight="1" spans="1:28">
      <c r="A48" s="16">
        <v>1</v>
      </c>
      <c r="B48" s="21">
        <f t="shared" si="1"/>
        <v>44</v>
      </c>
      <c r="C48" s="24" t="s">
        <v>963</v>
      </c>
      <c r="D48" s="23" t="str">
        <f t="shared" si="2"/>
        <v>2C</v>
      </c>
      <c r="E48" s="34" t="str">
        <f>_xlfn.IFNA(VLOOKUP($C48&amp;","&amp;E3,汇编指令!$C$2:$D$235,2,FALSE),"-1")</f>
        <v>-1</v>
      </c>
      <c r="F48" s="32" t="str">
        <f>_xlfn.IFNA(VLOOKUP($C48&amp;","&amp;F3,汇编指令!$C$2:$D$235,2,FALSE),"-1")</f>
        <v>-1</v>
      </c>
      <c r="G48" s="32" t="str">
        <f>_xlfn.IFNA(VLOOKUP($C48&amp;","&amp;G3,汇编指令!$C$2:$D$235,2,FALSE),"-1")</f>
        <v>-1</v>
      </c>
      <c r="H48" s="32" t="str">
        <f>_xlfn.IFNA(VLOOKUP($C48&amp;","&amp;H3,汇编指令!$C$2:$D$235,2,FALSE),"-1")</f>
        <v>-1</v>
      </c>
      <c r="I48" s="32" t="str">
        <f>_xlfn.IFNA(VLOOKUP($C48&amp;","&amp;I3,汇编指令!$C$2:$D$235,2,FALSE),"-1")</f>
        <v>-1</v>
      </c>
      <c r="J48" s="32" t="str">
        <f>_xlfn.IFNA(VLOOKUP($C48&amp;","&amp;J3,汇编指令!$C$2:$D$235,2,FALSE),"-1")</f>
        <v>-1</v>
      </c>
      <c r="K48" s="32" t="str">
        <f>_xlfn.IFNA(VLOOKUP($C48&amp;","&amp;K3,汇编指令!$C$2:$D$235,2,FALSE),"-1")</f>
        <v>-1</v>
      </c>
      <c r="L48" s="32" t="str">
        <f>_xlfn.IFNA(VLOOKUP($C48&amp;","&amp;L3,汇编指令!$C$2:$D$235,2,FALSE),"-1")</f>
        <v>-1</v>
      </c>
      <c r="M48" s="32" t="str">
        <f>_xlfn.IFNA(VLOOKUP($C48&amp;","&amp;M3,汇编指令!$C$2:$D$235,2,FALSE),"-1")</f>
        <v>-1</v>
      </c>
      <c r="N48" s="32" t="str">
        <f>_xlfn.IFNA(VLOOKUP($C48&amp;","&amp;N3,汇编指令!$C$2:$D$235,2,FALSE),"-1")</f>
        <v>-1</v>
      </c>
      <c r="O48" s="33" t="str">
        <f>_xlfn.IFNA(VLOOKUP($C48&amp;","&amp;O3,汇编指令!$C$2:$D$235,2,FALSE),"-1")</f>
        <v>D0</v>
      </c>
      <c r="P48" s="32" t="str">
        <f>_xlfn.IFNA(VLOOKUP($C48&amp;","&amp;P3,汇编指令!$C$2:$D$235,2,FALSE),"-1")</f>
        <v>-1</v>
      </c>
      <c r="Q48" s="32" t="str">
        <f>_xlfn.IFNA(VLOOKUP($C48&amp;","&amp;Q3,汇编指令!$C$2:$D$235,2,FALSE),"-1")</f>
        <v>-1</v>
      </c>
      <c r="R48" s="32" t="str">
        <f>_xlfn.IFNA(VLOOKUP($C48&amp;","&amp;R3,汇编指令!$C$2:$D$235,2,FALSE),"-1")</f>
        <v>-1</v>
      </c>
      <c r="S48" s="32" t="str">
        <f>_xlfn.IFNA(VLOOKUP($C48&amp;","&amp;S3,汇编指令!$C$2:$D$235,2,FALSE),"-1")</f>
        <v>-1</v>
      </c>
      <c r="T48" s="32" t="str">
        <f>_xlfn.IFNA(VLOOKUP($C48&amp;","&amp;T3,汇编指令!$C$2:$D$235,2,FALSE),"-1")</f>
        <v>-1</v>
      </c>
      <c r="U48" s="32" t="str">
        <f>_xlfn.IFNA(VLOOKUP($C48&amp;","&amp;U3,汇编指令!$C$2:$D$235,2,FALSE),"-1")</f>
        <v>-1</v>
      </c>
      <c r="V48" s="32" t="str">
        <f>_xlfn.IFNA(VLOOKUP($C48&amp;","&amp;V3,汇编指令!$C$2:$D$235,2,FALSE),"-1")</f>
        <v>-1</v>
      </c>
      <c r="W48" s="32" t="str">
        <f>_xlfn.IFNA(VLOOKUP($C48&amp;","&amp;W3,汇编指令!$C$2:$D$235,2,FALSE),"-1")</f>
        <v>-1</v>
      </c>
      <c r="X48" s="32" t="str">
        <f>_xlfn.IFNA(VLOOKUP($C48&amp;","&amp;X3,汇编指令!$C$2:$D$235,2,FALSE),"-1")</f>
        <v>-1</v>
      </c>
      <c r="Y48" s="32" t="str">
        <f>_xlfn.IFNA(VLOOKUP($C48&amp;","&amp;Y3,汇编指令!$C$2:$D$235,2,FALSE),"-1")</f>
        <v>-1</v>
      </c>
      <c r="Z48" s="32" t="str">
        <f>_xlfn.IFNA(VLOOKUP($C48&amp;","&amp;Z3,汇编指令!$C$2:$D$235,2,FALSE),"-1")</f>
        <v>-1</v>
      </c>
      <c r="AA48" s="32" t="str">
        <f>_xlfn.IFNA(VLOOKUP($C48&amp;","&amp;AA3,汇编指令!$C$2:$D$235,2,FALSE),"-1")</f>
        <v>-1</v>
      </c>
      <c r="AB48" s="53" t="str">
        <f>_xlfn.IFNA(VLOOKUP($C48&amp;","&amp;AB3,汇编指令!$C$2:$D$235,2,FALSE),"-1")</f>
        <v>-1</v>
      </c>
    </row>
    <row r="49" ht="20" customHeight="1" spans="1:28">
      <c r="A49" s="16">
        <v>1</v>
      </c>
      <c r="B49" s="21">
        <f t="shared" si="1"/>
        <v>45</v>
      </c>
      <c r="C49" s="24" t="s">
        <v>964</v>
      </c>
      <c r="D49" s="23" t="str">
        <f t="shared" si="2"/>
        <v>2D</v>
      </c>
      <c r="E49" s="34" t="str">
        <f>_xlfn.IFNA(VLOOKUP($C49&amp;","&amp;E3,汇编指令!$C$2:$D$235,2,FALSE),"-1")</f>
        <v>-1</v>
      </c>
      <c r="F49" s="32" t="str">
        <f>_xlfn.IFNA(VLOOKUP($C49&amp;","&amp;F3,汇编指令!$C$2:$D$235,2,FALSE),"-1")</f>
        <v>-1</v>
      </c>
      <c r="G49" s="32" t="str">
        <f>_xlfn.IFNA(VLOOKUP($C49&amp;","&amp;G3,汇编指令!$C$2:$D$235,2,FALSE),"-1")</f>
        <v>-1</v>
      </c>
      <c r="H49" s="32" t="str">
        <f>_xlfn.IFNA(VLOOKUP($C49&amp;","&amp;H3,汇编指令!$C$2:$D$235,2,FALSE),"-1")</f>
        <v>-1</v>
      </c>
      <c r="I49" s="32" t="str">
        <f>_xlfn.IFNA(VLOOKUP($C49&amp;","&amp;I3,汇编指令!$C$2:$D$235,2,FALSE),"-1")</f>
        <v>-1</v>
      </c>
      <c r="J49" s="32" t="str">
        <f>_xlfn.IFNA(VLOOKUP($C49&amp;","&amp;J3,汇编指令!$C$2:$D$235,2,FALSE),"-1")</f>
        <v>-1</v>
      </c>
      <c r="K49" s="32" t="str">
        <f>_xlfn.IFNA(VLOOKUP($C49&amp;","&amp;K3,汇编指令!$C$2:$D$235,2,FALSE),"-1")</f>
        <v>-1</v>
      </c>
      <c r="L49" s="32" t="str">
        <f>_xlfn.IFNA(VLOOKUP($C49&amp;","&amp;L3,汇编指令!$C$2:$D$235,2,FALSE),"-1")</f>
        <v>-1</v>
      </c>
      <c r="M49" s="32" t="str">
        <f>_xlfn.IFNA(VLOOKUP($C49&amp;","&amp;M3,汇编指令!$C$2:$D$235,2,FALSE),"-1")</f>
        <v>-1</v>
      </c>
      <c r="N49" s="32" t="str">
        <f>_xlfn.IFNA(VLOOKUP($C49&amp;","&amp;N3,汇编指令!$C$2:$D$235,2,FALSE),"-1")</f>
        <v>-1</v>
      </c>
      <c r="O49" s="33" t="str">
        <f>_xlfn.IFNA(VLOOKUP($C49&amp;","&amp;O3,汇编指令!$C$2:$D$235,2,FALSE),"-1")</f>
        <v>C0</v>
      </c>
      <c r="P49" s="32" t="str">
        <f>_xlfn.IFNA(VLOOKUP($C49&amp;","&amp;P3,汇编指令!$C$2:$D$235,2,FALSE),"-1")</f>
        <v>-1</v>
      </c>
      <c r="Q49" s="32" t="str">
        <f>_xlfn.IFNA(VLOOKUP($C49&amp;","&amp;Q3,汇编指令!$C$2:$D$235,2,FALSE),"-1")</f>
        <v>-1</v>
      </c>
      <c r="R49" s="32" t="str">
        <f>_xlfn.IFNA(VLOOKUP($C49&amp;","&amp;R3,汇编指令!$C$2:$D$235,2,FALSE),"-1")</f>
        <v>-1</v>
      </c>
      <c r="S49" s="32" t="str">
        <f>_xlfn.IFNA(VLOOKUP($C49&amp;","&amp;S3,汇编指令!$C$2:$D$235,2,FALSE),"-1")</f>
        <v>-1</v>
      </c>
      <c r="T49" s="32" t="str">
        <f>_xlfn.IFNA(VLOOKUP($C49&amp;","&amp;T3,汇编指令!$C$2:$D$235,2,FALSE),"-1")</f>
        <v>-1</v>
      </c>
      <c r="U49" s="32" t="str">
        <f>_xlfn.IFNA(VLOOKUP($C49&amp;","&amp;U3,汇编指令!$C$2:$D$235,2,FALSE),"-1")</f>
        <v>-1</v>
      </c>
      <c r="V49" s="32" t="str">
        <f>_xlfn.IFNA(VLOOKUP($C49&amp;","&amp;V3,汇编指令!$C$2:$D$235,2,FALSE),"-1")</f>
        <v>-1</v>
      </c>
      <c r="W49" s="32" t="str">
        <f>_xlfn.IFNA(VLOOKUP($C49&amp;","&amp;W3,汇编指令!$C$2:$D$235,2,FALSE),"-1")</f>
        <v>-1</v>
      </c>
      <c r="X49" s="32" t="str">
        <f>_xlfn.IFNA(VLOOKUP($C49&amp;","&amp;X3,汇编指令!$C$2:$D$235,2,FALSE),"-1")</f>
        <v>-1</v>
      </c>
      <c r="Y49" s="32" t="str">
        <f>_xlfn.IFNA(VLOOKUP($C49&amp;","&amp;Y3,汇编指令!$C$2:$D$235,2,FALSE),"-1")</f>
        <v>-1</v>
      </c>
      <c r="Z49" s="32" t="str">
        <f>_xlfn.IFNA(VLOOKUP($C49&amp;","&amp;Z3,汇编指令!$C$2:$D$235,2,FALSE),"-1")</f>
        <v>-1</v>
      </c>
      <c r="AA49" s="32" t="str">
        <f>_xlfn.IFNA(VLOOKUP($C49&amp;","&amp;AA3,汇编指令!$C$2:$D$235,2,FALSE),"-1")</f>
        <v>-1</v>
      </c>
      <c r="AB49" s="53" t="str">
        <f>_xlfn.IFNA(VLOOKUP($C49&amp;","&amp;AB3,汇编指令!$C$2:$D$235,2,FALSE),"-1")</f>
        <v>-1</v>
      </c>
    </row>
    <row r="50" ht="20" customHeight="1" spans="1:28">
      <c r="A50" s="16">
        <v>1</v>
      </c>
      <c r="B50" s="21">
        <f t="shared" si="1"/>
        <v>46</v>
      </c>
      <c r="C50" s="24" t="s">
        <v>965</v>
      </c>
      <c r="D50" s="23" t="str">
        <f t="shared" si="2"/>
        <v>2E</v>
      </c>
      <c r="E50" s="31" t="str">
        <f>_xlfn.IFNA(VLOOKUP($C50&amp;","&amp;E3,汇编指令!$C$2:$D$235,2,FALSE),"-1")</f>
        <v>23</v>
      </c>
      <c r="F50" s="32" t="str">
        <f>_xlfn.IFNA(VLOOKUP($C50&amp;","&amp;F3,汇编指令!$C$2:$D$235,2,FALSE),"-1")</f>
        <v>-1</v>
      </c>
      <c r="G50" s="32" t="str">
        <f>_xlfn.IFNA(VLOOKUP($C50&amp;","&amp;G3,汇编指令!$C$2:$D$235,2,FALSE),"-1")</f>
        <v>-1</v>
      </c>
      <c r="H50" s="32" t="str">
        <f>_xlfn.IFNA(VLOOKUP($C50&amp;","&amp;H3,汇编指令!$C$2:$D$235,2,FALSE),"-1")</f>
        <v>-1</v>
      </c>
      <c r="I50" s="32" t="str">
        <f>_xlfn.IFNA(VLOOKUP($C50&amp;","&amp;I3,汇编指令!$C$2:$D$235,2,FALSE),"-1")</f>
        <v>-1</v>
      </c>
      <c r="J50" s="32" t="str">
        <f>_xlfn.IFNA(VLOOKUP($C50&amp;","&amp;J3,汇编指令!$C$2:$D$235,2,FALSE),"-1")</f>
        <v>-1</v>
      </c>
      <c r="K50" s="32" t="str">
        <f>_xlfn.IFNA(VLOOKUP($C50&amp;","&amp;K3,汇编指令!$C$2:$D$235,2,FALSE),"-1")</f>
        <v>-1</v>
      </c>
      <c r="L50" s="32" t="str">
        <f>_xlfn.IFNA(VLOOKUP($C50&amp;","&amp;L3,汇编指令!$C$2:$D$235,2,FALSE),"-1")</f>
        <v>-1</v>
      </c>
      <c r="M50" s="32" t="str">
        <f>_xlfn.IFNA(VLOOKUP($C50&amp;","&amp;M3,汇编指令!$C$2:$D$235,2,FALSE),"-1")</f>
        <v>-1</v>
      </c>
      <c r="N50" s="32" t="str">
        <f>_xlfn.IFNA(VLOOKUP($C50&amp;","&amp;N3,汇编指令!$C$2:$D$235,2,FALSE),"-1")</f>
        <v>-1</v>
      </c>
      <c r="O50" s="32" t="str">
        <f>_xlfn.IFNA(VLOOKUP($C50&amp;","&amp;O3,汇编指令!$C$2:$D$235,2,FALSE),"-1")</f>
        <v>-1</v>
      </c>
      <c r="P50" s="32" t="str">
        <f>_xlfn.IFNA(VLOOKUP($C50&amp;","&amp;P3,汇编指令!$C$2:$D$235,2,FALSE),"-1")</f>
        <v>-1</v>
      </c>
      <c r="Q50" s="32" t="str">
        <f>_xlfn.IFNA(VLOOKUP($C50&amp;","&amp;Q3,汇编指令!$C$2:$D$235,2,FALSE),"-1")</f>
        <v>-1</v>
      </c>
      <c r="R50" s="32" t="str">
        <f>_xlfn.IFNA(VLOOKUP($C50&amp;","&amp;R3,汇编指令!$C$2:$D$235,2,FALSE),"-1")</f>
        <v>-1</v>
      </c>
      <c r="S50" s="32" t="str">
        <f>_xlfn.IFNA(VLOOKUP($C50&amp;","&amp;S3,汇编指令!$C$2:$D$235,2,FALSE),"-1")</f>
        <v>-1</v>
      </c>
      <c r="T50" s="32" t="str">
        <f>_xlfn.IFNA(VLOOKUP($C50&amp;","&amp;T3,汇编指令!$C$2:$D$235,2,FALSE),"-1")</f>
        <v>-1</v>
      </c>
      <c r="U50" s="32" t="str">
        <f>_xlfn.IFNA(VLOOKUP($C50&amp;","&amp;U3,汇编指令!$C$2:$D$235,2,FALSE),"-1")</f>
        <v>-1</v>
      </c>
      <c r="V50" s="32" t="str">
        <f>_xlfn.IFNA(VLOOKUP($C50&amp;","&amp;V3,汇编指令!$C$2:$D$235,2,FALSE),"-1")</f>
        <v>-1</v>
      </c>
      <c r="W50" s="32" t="str">
        <f>_xlfn.IFNA(VLOOKUP($C50&amp;","&amp;W3,汇编指令!$C$2:$D$235,2,FALSE),"-1")</f>
        <v>-1</v>
      </c>
      <c r="X50" s="32" t="str">
        <f>_xlfn.IFNA(VLOOKUP($C50&amp;","&amp;X3,汇编指令!$C$2:$D$235,2,FALSE),"-1")</f>
        <v>-1</v>
      </c>
      <c r="Y50" s="32" t="str">
        <f>_xlfn.IFNA(VLOOKUP($C50&amp;","&amp;Y3,汇编指令!$C$2:$D$235,2,FALSE),"-1")</f>
        <v>-1</v>
      </c>
      <c r="Z50" s="32" t="str">
        <f>_xlfn.IFNA(VLOOKUP($C50&amp;","&amp;Z3,汇编指令!$C$2:$D$235,2,FALSE),"-1")</f>
        <v>-1</v>
      </c>
      <c r="AA50" s="32" t="str">
        <f>_xlfn.IFNA(VLOOKUP($C50&amp;","&amp;AA3,汇编指令!$C$2:$D$235,2,FALSE),"-1")</f>
        <v>-1</v>
      </c>
      <c r="AB50" s="53" t="str">
        <f>_xlfn.IFNA(VLOOKUP($C50&amp;","&amp;AB3,汇编指令!$C$2:$D$235,2,FALSE),"-1")</f>
        <v>-1</v>
      </c>
    </row>
    <row r="51" ht="20" customHeight="1" spans="1:28">
      <c r="A51" s="16">
        <v>1</v>
      </c>
      <c r="B51" s="21">
        <f t="shared" si="1"/>
        <v>47</v>
      </c>
      <c r="C51" s="24" t="s">
        <v>966</v>
      </c>
      <c r="D51" s="23" t="str">
        <f t="shared" si="2"/>
        <v>2F</v>
      </c>
      <c r="E51" s="31" t="str">
        <f>_xlfn.IFNA(VLOOKUP($C51&amp;","&amp;E3,汇编指令!$C$2:$D$235,2,FALSE),"-1")</f>
        <v>33</v>
      </c>
      <c r="F51" s="32" t="str">
        <f>_xlfn.IFNA(VLOOKUP($C51&amp;","&amp;F3,汇编指令!$C$2:$D$235,2,FALSE),"-1")</f>
        <v>-1</v>
      </c>
      <c r="G51" s="32" t="str">
        <f>_xlfn.IFNA(VLOOKUP($C51&amp;","&amp;G3,汇编指令!$C$2:$D$235,2,FALSE),"-1")</f>
        <v>-1</v>
      </c>
      <c r="H51" s="32" t="str">
        <f>_xlfn.IFNA(VLOOKUP($C51&amp;","&amp;H3,汇编指令!$C$2:$D$235,2,FALSE),"-1")</f>
        <v>-1</v>
      </c>
      <c r="I51" s="32" t="str">
        <f>_xlfn.IFNA(VLOOKUP($C51&amp;","&amp;I3,汇编指令!$C$2:$D$235,2,FALSE),"-1")</f>
        <v>-1</v>
      </c>
      <c r="J51" s="32" t="str">
        <f>_xlfn.IFNA(VLOOKUP($C51&amp;","&amp;J3,汇编指令!$C$2:$D$235,2,FALSE),"-1")</f>
        <v>-1</v>
      </c>
      <c r="K51" s="32" t="str">
        <f>_xlfn.IFNA(VLOOKUP($C51&amp;","&amp;K3,汇编指令!$C$2:$D$235,2,FALSE),"-1")</f>
        <v>-1</v>
      </c>
      <c r="L51" s="32" t="str">
        <f>_xlfn.IFNA(VLOOKUP($C51&amp;","&amp;L3,汇编指令!$C$2:$D$235,2,FALSE),"-1")</f>
        <v>-1</v>
      </c>
      <c r="M51" s="32" t="str">
        <f>_xlfn.IFNA(VLOOKUP($C51&amp;","&amp;M3,汇编指令!$C$2:$D$235,2,FALSE),"-1")</f>
        <v>-1</v>
      </c>
      <c r="N51" s="32" t="str">
        <f>_xlfn.IFNA(VLOOKUP($C51&amp;","&amp;N3,汇编指令!$C$2:$D$235,2,FALSE),"-1")</f>
        <v>-1</v>
      </c>
      <c r="O51" s="32" t="str">
        <f>_xlfn.IFNA(VLOOKUP($C51&amp;","&amp;O3,汇编指令!$C$2:$D$235,2,FALSE),"-1")</f>
        <v>-1</v>
      </c>
      <c r="P51" s="32" t="str">
        <f>_xlfn.IFNA(VLOOKUP($C51&amp;","&amp;P3,汇编指令!$C$2:$D$235,2,FALSE),"-1")</f>
        <v>-1</v>
      </c>
      <c r="Q51" s="32" t="str">
        <f>_xlfn.IFNA(VLOOKUP($C51&amp;","&amp;Q3,汇编指令!$C$2:$D$235,2,FALSE),"-1")</f>
        <v>-1</v>
      </c>
      <c r="R51" s="32" t="str">
        <f>_xlfn.IFNA(VLOOKUP($C51&amp;","&amp;R3,汇编指令!$C$2:$D$235,2,FALSE),"-1")</f>
        <v>-1</v>
      </c>
      <c r="S51" s="32" t="str">
        <f>_xlfn.IFNA(VLOOKUP($C51&amp;","&amp;S3,汇编指令!$C$2:$D$235,2,FALSE),"-1")</f>
        <v>-1</v>
      </c>
      <c r="T51" s="32" t="str">
        <f>_xlfn.IFNA(VLOOKUP($C51&amp;","&amp;T3,汇编指令!$C$2:$D$235,2,FALSE),"-1")</f>
        <v>-1</v>
      </c>
      <c r="U51" s="32" t="str">
        <f>_xlfn.IFNA(VLOOKUP($C51&amp;","&amp;U3,汇编指令!$C$2:$D$235,2,FALSE),"-1")</f>
        <v>-1</v>
      </c>
      <c r="V51" s="32" t="str">
        <f>_xlfn.IFNA(VLOOKUP($C51&amp;","&amp;V3,汇编指令!$C$2:$D$235,2,FALSE),"-1")</f>
        <v>-1</v>
      </c>
      <c r="W51" s="32" t="str">
        <f>_xlfn.IFNA(VLOOKUP($C51&amp;","&amp;W3,汇编指令!$C$2:$D$235,2,FALSE),"-1")</f>
        <v>-1</v>
      </c>
      <c r="X51" s="32" t="str">
        <f>_xlfn.IFNA(VLOOKUP($C51&amp;","&amp;X3,汇编指令!$C$2:$D$235,2,FALSE),"-1")</f>
        <v>-1</v>
      </c>
      <c r="Y51" s="32" t="str">
        <f>_xlfn.IFNA(VLOOKUP($C51&amp;","&amp;Y3,汇编指令!$C$2:$D$235,2,FALSE),"-1")</f>
        <v>-1</v>
      </c>
      <c r="Z51" s="32" t="str">
        <f>_xlfn.IFNA(VLOOKUP($C51&amp;","&amp;Z3,汇编指令!$C$2:$D$235,2,FALSE),"-1")</f>
        <v>-1</v>
      </c>
      <c r="AA51" s="32" t="str">
        <f>_xlfn.IFNA(VLOOKUP($C51&amp;","&amp;AA3,汇编指令!$C$2:$D$235,2,FALSE),"-1")</f>
        <v>-1</v>
      </c>
      <c r="AB51" s="53" t="str">
        <f>_xlfn.IFNA(VLOOKUP($C51&amp;","&amp;AB3,汇编指令!$C$2:$D$235,2,FALSE),"-1")</f>
        <v>-1</v>
      </c>
    </row>
    <row r="52" ht="20" customHeight="1" spans="1:28">
      <c r="A52" s="16">
        <v>1</v>
      </c>
      <c r="B52" s="21">
        <f t="shared" si="1"/>
        <v>48</v>
      </c>
      <c r="C52" s="24" t="s">
        <v>967</v>
      </c>
      <c r="D52" s="23" t="str">
        <f t="shared" si="2"/>
        <v>30</v>
      </c>
      <c r="E52" s="31" t="str">
        <f>_xlfn.IFNA(VLOOKUP($C52&amp;","&amp;E3,汇编指令!$C$2:$D$235,2,FALSE),"-1")</f>
        <v>3</v>
      </c>
      <c r="F52" s="32" t="str">
        <f>_xlfn.IFNA(VLOOKUP($C52&amp;","&amp;F3,汇编指令!$C$2:$D$235,2,FALSE),"-1")</f>
        <v>-1</v>
      </c>
      <c r="G52" s="32" t="str">
        <f>_xlfn.IFNA(VLOOKUP($C52&amp;","&amp;G3,汇编指令!$C$2:$D$235,2,FALSE),"-1")</f>
        <v>-1</v>
      </c>
      <c r="H52" s="32" t="str">
        <f>_xlfn.IFNA(VLOOKUP($C52&amp;","&amp;H3,汇编指令!$C$2:$D$235,2,FALSE),"-1")</f>
        <v>-1</v>
      </c>
      <c r="I52" s="32" t="str">
        <f>_xlfn.IFNA(VLOOKUP($C52&amp;","&amp;I3,汇编指令!$C$2:$D$235,2,FALSE),"-1")</f>
        <v>-1</v>
      </c>
      <c r="J52" s="32" t="str">
        <f>_xlfn.IFNA(VLOOKUP($C52&amp;","&amp;J3,汇编指令!$C$2:$D$235,2,FALSE),"-1")</f>
        <v>-1</v>
      </c>
      <c r="K52" s="32" t="str">
        <f>_xlfn.IFNA(VLOOKUP($C52&amp;","&amp;K3,汇编指令!$C$2:$D$235,2,FALSE),"-1")</f>
        <v>-1</v>
      </c>
      <c r="L52" s="32" t="str">
        <f>_xlfn.IFNA(VLOOKUP($C52&amp;","&amp;L3,汇编指令!$C$2:$D$235,2,FALSE),"-1")</f>
        <v>-1</v>
      </c>
      <c r="M52" s="32" t="str">
        <f>_xlfn.IFNA(VLOOKUP($C52&amp;","&amp;M3,汇编指令!$C$2:$D$235,2,FALSE),"-1")</f>
        <v>-1</v>
      </c>
      <c r="N52" s="32" t="str">
        <f>_xlfn.IFNA(VLOOKUP($C52&amp;","&amp;N3,汇编指令!$C$2:$D$235,2,FALSE),"-1")</f>
        <v>-1</v>
      </c>
      <c r="O52" s="32" t="str">
        <f>_xlfn.IFNA(VLOOKUP($C52&amp;","&amp;O3,汇编指令!$C$2:$D$235,2,FALSE),"-1")</f>
        <v>-1</v>
      </c>
      <c r="P52" s="32" t="str">
        <f>_xlfn.IFNA(VLOOKUP($C52&amp;","&amp;P3,汇编指令!$C$2:$D$235,2,FALSE),"-1")</f>
        <v>-1</v>
      </c>
      <c r="Q52" s="32" t="str">
        <f>_xlfn.IFNA(VLOOKUP($C52&amp;","&amp;Q3,汇编指令!$C$2:$D$235,2,FALSE),"-1")</f>
        <v>-1</v>
      </c>
      <c r="R52" s="32" t="str">
        <f>_xlfn.IFNA(VLOOKUP($C52&amp;","&amp;R3,汇编指令!$C$2:$D$235,2,FALSE),"-1")</f>
        <v>-1</v>
      </c>
      <c r="S52" s="32" t="str">
        <f>_xlfn.IFNA(VLOOKUP($C52&amp;","&amp;S3,汇编指令!$C$2:$D$235,2,FALSE),"-1")</f>
        <v>-1</v>
      </c>
      <c r="T52" s="32" t="str">
        <f>_xlfn.IFNA(VLOOKUP($C52&amp;","&amp;T3,汇编指令!$C$2:$D$235,2,FALSE),"-1")</f>
        <v>-1</v>
      </c>
      <c r="U52" s="32" t="str">
        <f>_xlfn.IFNA(VLOOKUP($C52&amp;","&amp;U3,汇编指令!$C$2:$D$235,2,FALSE),"-1")</f>
        <v>-1</v>
      </c>
      <c r="V52" s="32" t="str">
        <f>_xlfn.IFNA(VLOOKUP($C52&amp;","&amp;V3,汇编指令!$C$2:$D$235,2,FALSE),"-1")</f>
        <v>-1</v>
      </c>
      <c r="W52" s="32" t="str">
        <f>_xlfn.IFNA(VLOOKUP($C52&amp;","&amp;W3,汇编指令!$C$2:$D$235,2,FALSE),"-1")</f>
        <v>-1</v>
      </c>
      <c r="X52" s="32" t="str">
        <f>_xlfn.IFNA(VLOOKUP($C52&amp;","&amp;X3,汇编指令!$C$2:$D$235,2,FALSE),"-1")</f>
        <v>-1</v>
      </c>
      <c r="Y52" s="32" t="str">
        <f>_xlfn.IFNA(VLOOKUP($C52&amp;","&amp;Y3,汇编指令!$C$2:$D$235,2,FALSE),"-1")</f>
        <v>-1</v>
      </c>
      <c r="Z52" s="32" t="str">
        <f>_xlfn.IFNA(VLOOKUP($C52&amp;","&amp;Z3,汇编指令!$C$2:$D$235,2,FALSE),"-1")</f>
        <v>-1</v>
      </c>
      <c r="AA52" s="32" t="str">
        <f>_xlfn.IFNA(VLOOKUP($C52&amp;","&amp;AA3,汇编指令!$C$2:$D$235,2,FALSE),"-1")</f>
        <v>-1</v>
      </c>
      <c r="AB52" s="53" t="str">
        <f>_xlfn.IFNA(VLOOKUP($C52&amp;","&amp;AB3,汇编指令!$C$2:$D$235,2,FALSE),"-1")</f>
        <v>-1</v>
      </c>
    </row>
    <row r="53" ht="20" customHeight="1" spans="1:28">
      <c r="A53" s="16">
        <v>1</v>
      </c>
      <c r="B53" s="21">
        <f t="shared" si="1"/>
        <v>49</v>
      </c>
      <c r="C53" s="24" t="s">
        <v>968</v>
      </c>
      <c r="D53" s="23" t="str">
        <f t="shared" si="2"/>
        <v>31</v>
      </c>
      <c r="E53" s="31" t="str">
        <f>_xlfn.IFNA(VLOOKUP($C53&amp;","&amp;E3,汇编指令!$C$2:$D$235,2,FALSE),"-1")</f>
        <v>13</v>
      </c>
      <c r="F53" s="32" t="str">
        <f>_xlfn.IFNA(VLOOKUP($C53&amp;","&amp;F3,汇编指令!$C$2:$D$235,2,FALSE),"-1")</f>
        <v>-1</v>
      </c>
      <c r="G53" s="32" t="str">
        <f>_xlfn.IFNA(VLOOKUP($C53&amp;","&amp;G3,汇编指令!$C$2:$D$235,2,FALSE),"-1")</f>
        <v>-1</v>
      </c>
      <c r="H53" s="32" t="str">
        <f>_xlfn.IFNA(VLOOKUP($C53&amp;","&amp;H3,汇编指令!$C$2:$D$235,2,FALSE),"-1")</f>
        <v>-1</v>
      </c>
      <c r="I53" s="32" t="str">
        <f>_xlfn.IFNA(VLOOKUP($C53&amp;","&amp;I3,汇编指令!$C$2:$D$235,2,FALSE),"-1")</f>
        <v>-1</v>
      </c>
      <c r="J53" s="32" t="str">
        <f>_xlfn.IFNA(VLOOKUP($C53&amp;","&amp;J3,汇编指令!$C$2:$D$235,2,FALSE),"-1")</f>
        <v>-1</v>
      </c>
      <c r="K53" s="32" t="str">
        <f>_xlfn.IFNA(VLOOKUP($C53&amp;","&amp;K3,汇编指令!$C$2:$D$235,2,FALSE),"-1")</f>
        <v>-1</v>
      </c>
      <c r="L53" s="32" t="str">
        <f>_xlfn.IFNA(VLOOKUP($C53&amp;","&amp;L3,汇编指令!$C$2:$D$235,2,FALSE),"-1")</f>
        <v>-1</v>
      </c>
      <c r="M53" s="32" t="str">
        <f>_xlfn.IFNA(VLOOKUP($C53&amp;","&amp;M3,汇编指令!$C$2:$D$235,2,FALSE),"-1")</f>
        <v>-1</v>
      </c>
      <c r="N53" s="32" t="str">
        <f>_xlfn.IFNA(VLOOKUP($C53&amp;","&amp;N3,汇编指令!$C$2:$D$235,2,FALSE),"-1")</f>
        <v>-1</v>
      </c>
      <c r="O53" s="32" t="str">
        <f>_xlfn.IFNA(VLOOKUP($C53&amp;","&amp;O3,汇编指令!$C$2:$D$235,2,FALSE),"-1")</f>
        <v>-1</v>
      </c>
      <c r="P53" s="32" t="str">
        <f>_xlfn.IFNA(VLOOKUP($C53&amp;","&amp;P3,汇编指令!$C$2:$D$235,2,FALSE),"-1")</f>
        <v>-1</v>
      </c>
      <c r="Q53" s="32" t="str">
        <f>_xlfn.IFNA(VLOOKUP($C53&amp;","&amp;Q3,汇编指令!$C$2:$D$235,2,FALSE),"-1")</f>
        <v>-1</v>
      </c>
      <c r="R53" s="32" t="str">
        <f>_xlfn.IFNA(VLOOKUP($C53&amp;","&amp;R3,汇编指令!$C$2:$D$235,2,FALSE),"-1")</f>
        <v>-1</v>
      </c>
      <c r="S53" s="32" t="str">
        <f>_xlfn.IFNA(VLOOKUP($C53&amp;","&amp;S3,汇编指令!$C$2:$D$235,2,FALSE),"-1")</f>
        <v>-1</v>
      </c>
      <c r="T53" s="32" t="str">
        <f>_xlfn.IFNA(VLOOKUP($C53&amp;","&amp;T3,汇编指令!$C$2:$D$235,2,FALSE),"-1")</f>
        <v>-1</v>
      </c>
      <c r="U53" s="32" t="str">
        <f>_xlfn.IFNA(VLOOKUP($C53&amp;","&amp;U3,汇编指令!$C$2:$D$235,2,FALSE),"-1")</f>
        <v>-1</v>
      </c>
      <c r="V53" s="32" t="str">
        <f>_xlfn.IFNA(VLOOKUP($C53&amp;","&amp;V3,汇编指令!$C$2:$D$235,2,FALSE),"-1")</f>
        <v>-1</v>
      </c>
      <c r="W53" s="32" t="str">
        <f>_xlfn.IFNA(VLOOKUP($C53&amp;","&amp;W3,汇编指令!$C$2:$D$235,2,FALSE),"-1")</f>
        <v>-1</v>
      </c>
      <c r="X53" s="32" t="str">
        <f>_xlfn.IFNA(VLOOKUP($C53&amp;","&amp;X3,汇编指令!$C$2:$D$235,2,FALSE),"-1")</f>
        <v>-1</v>
      </c>
      <c r="Y53" s="32" t="str">
        <f>_xlfn.IFNA(VLOOKUP($C53&amp;","&amp;Y3,汇编指令!$C$2:$D$235,2,FALSE),"-1")</f>
        <v>-1</v>
      </c>
      <c r="Z53" s="32" t="str">
        <f>_xlfn.IFNA(VLOOKUP($C53&amp;","&amp;Z3,汇编指令!$C$2:$D$235,2,FALSE),"-1")</f>
        <v>-1</v>
      </c>
      <c r="AA53" s="32" t="str">
        <f>_xlfn.IFNA(VLOOKUP($C53&amp;","&amp;AA3,汇编指令!$C$2:$D$235,2,FALSE),"-1")</f>
        <v>-1</v>
      </c>
      <c r="AB53" s="53" t="str">
        <f>_xlfn.IFNA(VLOOKUP($C53&amp;","&amp;AB3,汇编指令!$C$2:$D$235,2,FALSE),"-1")</f>
        <v>-1</v>
      </c>
    </row>
    <row r="54" ht="20" customHeight="1" spans="1:28">
      <c r="A54" s="16">
        <v>1</v>
      </c>
      <c r="B54" s="21">
        <f t="shared" si="1"/>
        <v>50</v>
      </c>
      <c r="C54" s="24" t="s">
        <v>969</v>
      </c>
      <c r="D54" s="23" t="str">
        <f t="shared" si="2"/>
        <v>32</v>
      </c>
      <c r="E54" s="34" t="str">
        <f>_xlfn.IFNA(VLOOKUP($C54&amp;","&amp;E3,汇编指令!$C$2:$D$235,2,FALSE),"-1")</f>
        <v>-1</v>
      </c>
      <c r="F54" s="32" t="str">
        <f>_xlfn.IFNA(VLOOKUP($C54&amp;","&amp;F3,汇编指令!$C$2:$D$235,2,FALSE),"-1")</f>
        <v>-1</v>
      </c>
      <c r="G54" s="32" t="str">
        <f>_xlfn.IFNA(VLOOKUP($C54&amp;","&amp;G3,汇编指令!$C$2:$D$235,2,FALSE),"-1")</f>
        <v>-1</v>
      </c>
      <c r="H54" s="32" t="str">
        <f>_xlfn.IFNA(VLOOKUP($C54&amp;","&amp;H3,汇编指令!$C$2:$D$235,2,FALSE),"-1")</f>
        <v>-1</v>
      </c>
      <c r="I54" s="32" t="str">
        <f>_xlfn.IFNA(VLOOKUP($C54&amp;","&amp;I3,汇编指令!$C$2:$D$235,2,FALSE),"-1")</f>
        <v>-1</v>
      </c>
      <c r="J54" s="32" t="str">
        <f>_xlfn.IFNA(VLOOKUP($C54&amp;","&amp;J3,汇编指令!$C$2:$D$235,2,FALSE),"-1")</f>
        <v>-1</v>
      </c>
      <c r="K54" s="32" t="str">
        <f>_xlfn.IFNA(VLOOKUP($C54&amp;","&amp;K3,汇编指令!$C$2:$D$235,2,FALSE),"-1")</f>
        <v>-1</v>
      </c>
      <c r="L54" s="32" t="str">
        <f>_xlfn.IFNA(VLOOKUP($C54&amp;","&amp;L3,汇编指令!$C$2:$D$235,2,FALSE),"-1")</f>
        <v>-1</v>
      </c>
      <c r="M54" s="32" t="str">
        <f>_xlfn.IFNA(VLOOKUP($C54&amp;","&amp;M3,汇编指令!$C$2:$D$235,2,FALSE),"-1")</f>
        <v>-1</v>
      </c>
      <c r="N54" s="32" t="str">
        <f>_xlfn.IFNA(VLOOKUP($C54&amp;","&amp;N3,汇编指令!$C$2:$D$235,2,FALSE),"-1")</f>
        <v>-1</v>
      </c>
      <c r="O54" s="32" t="str">
        <f>_xlfn.IFNA(VLOOKUP($C54&amp;","&amp;O3,汇编指令!$C$2:$D$235,2,FALSE),"-1")</f>
        <v>-1</v>
      </c>
      <c r="P54" s="32" t="str">
        <f>_xlfn.IFNA(VLOOKUP($C54&amp;","&amp;P3,汇编指令!$C$2:$D$235,2,FALSE),"-1")</f>
        <v>-1</v>
      </c>
      <c r="Q54" s="32" t="str">
        <f>_xlfn.IFNA(VLOOKUP($C54&amp;","&amp;Q3,汇编指令!$C$2:$D$235,2,FALSE),"-1")</f>
        <v>-1</v>
      </c>
      <c r="R54" s="32" t="str">
        <f>_xlfn.IFNA(VLOOKUP($C54&amp;","&amp;R3,汇编指令!$C$2:$D$235,2,FALSE),"-1")</f>
        <v>-1</v>
      </c>
      <c r="S54" s="32" t="str">
        <f>_xlfn.IFNA(VLOOKUP($C54&amp;","&amp;S3,汇编指令!$C$2:$D$235,2,FALSE),"-1")</f>
        <v>-1</v>
      </c>
      <c r="T54" s="32" t="str">
        <f>_xlfn.IFNA(VLOOKUP($C54&amp;","&amp;T3,汇编指令!$C$2:$D$235,2,FALSE),"-1")</f>
        <v>-1</v>
      </c>
      <c r="U54" s="32" t="str">
        <f>_xlfn.IFNA(VLOOKUP($C54&amp;","&amp;U3,汇编指令!$C$2:$D$235,2,FALSE),"-1")</f>
        <v>-1</v>
      </c>
      <c r="V54" s="32" t="str">
        <f>_xlfn.IFNA(VLOOKUP($C54&amp;","&amp;V3,汇编指令!$C$2:$D$235,2,FALSE),"-1")</f>
        <v>-1</v>
      </c>
      <c r="W54" s="32" t="str">
        <f>_xlfn.IFNA(VLOOKUP($C54&amp;","&amp;W3,汇编指令!$C$2:$D$235,2,FALSE),"-1")</f>
        <v>-1</v>
      </c>
      <c r="X54" s="32" t="str">
        <f>_xlfn.IFNA(VLOOKUP($C54&amp;","&amp;X3,汇编指令!$C$2:$D$235,2,FALSE),"-1")</f>
        <v>-1</v>
      </c>
      <c r="Y54" s="33" t="str">
        <f>_xlfn.IFNA(VLOOKUP($C54&amp;","&amp;Y3,汇编指令!$C$2:$D$235,2,FALSE),"-1")</f>
        <v>D2</v>
      </c>
      <c r="Z54" s="33" t="str">
        <f>_xlfn.IFNA(VLOOKUP($C54&amp;","&amp;Z3,汇编指令!$C$2:$D$235,2,FALSE),"-1")</f>
        <v>D3</v>
      </c>
      <c r="AA54" s="32" t="str">
        <f>_xlfn.IFNA(VLOOKUP($C54&amp;","&amp;AA3,汇编指令!$C$2:$D$235,2,FALSE),"-1")</f>
        <v>-1</v>
      </c>
      <c r="AB54" s="53" t="str">
        <f>_xlfn.IFNA(VLOOKUP($C54&amp;","&amp;AB3,汇编指令!$C$2:$D$235,2,FALSE),"-1")</f>
        <v>-1</v>
      </c>
    </row>
    <row r="55" s="7" customFormat="1" ht="20" customHeight="1" spans="1:29">
      <c r="A55" s="16">
        <v>1</v>
      </c>
      <c r="B55" s="21">
        <f t="shared" si="1"/>
        <v>51</v>
      </c>
      <c r="C55" s="24" t="s">
        <v>970</v>
      </c>
      <c r="D55" s="23" t="str">
        <f t="shared" si="2"/>
        <v>33</v>
      </c>
      <c r="E55" s="34" t="str">
        <f>_xlfn.IFNA(VLOOKUP($C55&amp;","&amp;E3,汇编指令!$C$2:$D$235,2,FALSE),"-1")</f>
        <v>-1</v>
      </c>
      <c r="F55" s="32" t="str">
        <f>_xlfn.IFNA(VLOOKUP($C55&amp;","&amp;F3,汇编指令!$C$2:$D$235,2,FALSE),"-1")</f>
        <v>-1</v>
      </c>
      <c r="G55" s="32" t="str">
        <f>_xlfn.IFNA(VLOOKUP($C55&amp;","&amp;G3,汇编指令!$C$2:$D$235,2,FALSE),"-1")</f>
        <v>-1</v>
      </c>
      <c r="H55" s="32" t="str">
        <f>_xlfn.IFNA(VLOOKUP($C55&amp;","&amp;H3,汇编指令!$C$2:$D$235,2,FALSE),"-1")</f>
        <v>-1</v>
      </c>
      <c r="I55" s="32" t="str">
        <f>_xlfn.IFNA(VLOOKUP($C55&amp;","&amp;I3,汇编指令!$C$2:$D$235,2,FALSE),"-1")</f>
        <v>-1</v>
      </c>
      <c r="J55" s="32" t="str">
        <f>_xlfn.IFNA(VLOOKUP($C55&amp;","&amp;J3,汇编指令!$C$2:$D$235,2,FALSE),"-1")</f>
        <v>-1</v>
      </c>
      <c r="K55" s="32" t="str">
        <f>_xlfn.IFNA(VLOOKUP($C55&amp;","&amp;K3,汇编指令!$C$2:$D$235,2,FALSE),"-1")</f>
        <v>-1</v>
      </c>
      <c r="L55" s="32" t="str">
        <f>_xlfn.IFNA(VLOOKUP($C55&amp;","&amp;L3,汇编指令!$C$2:$D$235,2,FALSE),"-1")</f>
        <v>-1</v>
      </c>
      <c r="M55" s="32" t="str">
        <f>_xlfn.IFNA(VLOOKUP($C55&amp;","&amp;M3,汇编指令!$C$2:$D$235,2,FALSE),"-1")</f>
        <v>-1</v>
      </c>
      <c r="N55" s="32" t="str">
        <f>_xlfn.IFNA(VLOOKUP($C55&amp;","&amp;N3,汇编指令!$C$2:$D$235,2,FALSE),"-1")</f>
        <v>-1</v>
      </c>
      <c r="O55" s="32" t="str">
        <f>_xlfn.IFNA(VLOOKUP($C55&amp;","&amp;O3,汇编指令!$C$2:$D$235,2,FALSE),"-1")</f>
        <v>-1</v>
      </c>
      <c r="P55" s="32" t="str">
        <f>_xlfn.IFNA(VLOOKUP($C55&amp;","&amp;P3,汇编指令!$C$2:$D$235,2,FALSE),"-1")</f>
        <v>-1</v>
      </c>
      <c r="Q55" s="32" t="str">
        <f>_xlfn.IFNA(VLOOKUP($C55&amp;","&amp;Q3,汇编指令!$C$2:$D$235,2,FALSE),"-1")</f>
        <v>-1</v>
      </c>
      <c r="R55" s="32" t="str">
        <f>_xlfn.IFNA(VLOOKUP($C55&amp;","&amp;R3,汇编指令!$C$2:$D$235,2,FALSE),"-1")</f>
        <v>-1</v>
      </c>
      <c r="S55" s="32" t="str">
        <f>_xlfn.IFNA(VLOOKUP($C55&amp;","&amp;S3,汇编指令!$C$2:$D$235,2,FALSE),"-1")</f>
        <v>-1</v>
      </c>
      <c r="T55" s="32" t="str">
        <f>_xlfn.IFNA(VLOOKUP($C55&amp;","&amp;T3,汇编指令!$C$2:$D$235,2,FALSE),"-1")</f>
        <v>-1</v>
      </c>
      <c r="U55" s="32" t="str">
        <f>_xlfn.IFNA(VLOOKUP($C55&amp;","&amp;U3,汇编指令!$C$2:$D$235,2,FALSE),"-1")</f>
        <v>-1</v>
      </c>
      <c r="V55" s="32" t="str">
        <f>_xlfn.IFNA(VLOOKUP($C55&amp;","&amp;V3,汇编指令!$C$2:$D$235,2,FALSE),"-1")</f>
        <v>-1</v>
      </c>
      <c r="W55" s="32" t="str">
        <f>_xlfn.IFNA(VLOOKUP($C55&amp;","&amp;W3,汇编指令!$C$2:$D$235,2,FALSE),"-1")</f>
        <v>-1</v>
      </c>
      <c r="X55" s="33" t="str">
        <f>_xlfn.IFNA(VLOOKUP($C55&amp;","&amp;X3,汇编指令!$C$2:$D$235,2,FALSE),"-1")</f>
        <v>80</v>
      </c>
      <c r="Y55" s="32" t="str">
        <f>_xlfn.IFNA(VLOOKUP($C55&amp;","&amp;Y3,汇编指令!$C$2:$D$235,2,FALSE),"-1")</f>
        <v>-1</v>
      </c>
      <c r="Z55" s="32" t="str">
        <f>_xlfn.IFNA(VLOOKUP($C55&amp;","&amp;Z3,汇编指令!$C$2:$D$235,2,FALSE),"-1")</f>
        <v>-1</v>
      </c>
      <c r="AA55" s="32" t="str">
        <f>_xlfn.IFNA(VLOOKUP($C55&amp;","&amp;AA3,汇编指令!$C$2:$D$235,2,FALSE),"-1")</f>
        <v>-1</v>
      </c>
      <c r="AB55" s="53" t="str">
        <f>_xlfn.IFNA(VLOOKUP($C55&amp;","&amp;AB3,汇编指令!$C$2:$D$235,2,FALSE),"-1")</f>
        <v>-1</v>
      </c>
      <c r="AC55" s="55"/>
    </row>
    <row r="56" s="7" customFormat="1" ht="20" customHeight="1" spans="1:29">
      <c r="A56" s="16">
        <v>1</v>
      </c>
      <c r="B56" s="21">
        <f t="shared" si="1"/>
        <v>52</v>
      </c>
      <c r="C56" s="24" t="s">
        <v>971</v>
      </c>
      <c r="D56" s="23" t="str">
        <f t="shared" si="2"/>
        <v>34</v>
      </c>
      <c r="E56" s="31" t="str">
        <f>_xlfn.IFNA(VLOOKUP($C56&amp;","&amp;E3,汇编指令!$C$2:$D$235,2,FALSE),"-1")</f>
        <v>C4</v>
      </c>
      <c r="F56" s="32" t="str">
        <f>_xlfn.IFNA(VLOOKUP($C56&amp;","&amp;F3,汇编指令!$C$2:$D$235,2,FALSE),"-1")</f>
        <v>-1</v>
      </c>
      <c r="G56" s="32" t="str">
        <f>_xlfn.IFNA(VLOOKUP($C56&amp;","&amp;G3,汇编指令!$C$2:$D$235,2,FALSE),"-1")</f>
        <v>-1</v>
      </c>
      <c r="H56" s="32" t="str">
        <f>_xlfn.IFNA(VLOOKUP($C56&amp;","&amp;H3,汇编指令!$C$2:$D$235,2,FALSE),"-1")</f>
        <v>-1</v>
      </c>
      <c r="I56" s="32" t="str">
        <f>_xlfn.IFNA(VLOOKUP($C56&amp;","&amp;I3,汇编指令!$C$2:$D$235,2,FALSE),"-1")</f>
        <v>-1</v>
      </c>
      <c r="J56" s="32" t="str">
        <f>_xlfn.IFNA(VLOOKUP($C56&amp;","&amp;J3,汇编指令!$C$2:$D$235,2,FALSE),"-1")</f>
        <v>-1</v>
      </c>
      <c r="K56" s="32" t="str">
        <f>_xlfn.IFNA(VLOOKUP($C56&amp;","&amp;K3,汇编指令!$C$2:$D$235,2,FALSE),"-1")</f>
        <v>-1</v>
      </c>
      <c r="L56" s="32" t="str">
        <f>_xlfn.IFNA(VLOOKUP($C56&amp;","&amp;L3,汇编指令!$C$2:$D$235,2,FALSE),"-1")</f>
        <v>-1</v>
      </c>
      <c r="M56" s="32" t="str">
        <f>_xlfn.IFNA(VLOOKUP($C56&amp;","&amp;M3,汇编指令!$C$2:$D$235,2,FALSE),"-1")</f>
        <v>-1</v>
      </c>
      <c r="N56" s="32" t="str">
        <f>_xlfn.IFNA(VLOOKUP($C56&amp;","&amp;N3,汇编指令!$C$2:$D$235,2,FALSE),"-1")</f>
        <v>-1</v>
      </c>
      <c r="O56" s="32" t="str">
        <f>_xlfn.IFNA(VLOOKUP($C56&amp;","&amp;O3,汇编指令!$C$2:$D$235,2,FALSE),"-1")</f>
        <v>-1</v>
      </c>
      <c r="P56" s="32" t="str">
        <f>_xlfn.IFNA(VLOOKUP($C56&amp;","&amp;P3,汇编指令!$C$2:$D$235,2,FALSE),"-1")</f>
        <v>-1</v>
      </c>
      <c r="Q56" s="32" t="str">
        <f>_xlfn.IFNA(VLOOKUP($C56&amp;","&amp;Q3,汇编指令!$C$2:$D$235,2,FALSE),"-1")</f>
        <v>-1</v>
      </c>
      <c r="R56" s="32" t="str">
        <f>_xlfn.IFNA(VLOOKUP($C56&amp;","&amp;R3,汇编指令!$C$2:$D$235,2,FALSE),"-1")</f>
        <v>-1</v>
      </c>
      <c r="S56" s="32" t="str">
        <f>_xlfn.IFNA(VLOOKUP($C56&amp;","&amp;S3,汇编指令!$C$2:$D$235,2,FALSE),"-1")</f>
        <v>-1</v>
      </c>
      <c r="T56" s="32" t="str">
        <f>_xlfn.IFNA(VLOOKUP($C56&amp;","&amp;T3,汇编指令!$C$2:$D$235,2,FALSE),"-1")</f>
        <v>-1</v>
      </c>
      <c r="U56" s="32" t="str">
        <f>_xlfn.IFNA(VLOOKUP($C56&amp;","&amp;U3,汇编指令!$C$2:$D$235,2,FALSE),"-1")</f>
        <v>-1</v>
      </c>
      <c r="V56" s="32" t="str">
        <f>_xlfn.IFNA(VLOOKUP($C56&amp;","&amp;V3,汇编指令!$C$2:$D$235,2,FALSE),"-1")</f>
        <v>-1</v>
      </c>
      <c r="W56" s="32" t="str">
        <f>_xlfn.IFNA(VLOOKUP($C56&amp;","&amp;W3,汇编指令!$C$2:$D$235,2,FALSE),"-1")</f>
        <v>-1</v>
      </c>
      <c r="X56" s="32" t="str">
        <f>_xlfn.IFNA(VLOOKUP($C56&amp;","&amp;X3,汇编指令!$C$2:$D$235,2,FALSE),"-1")</f>
        <v>-1</v>
      </c>
      <c r="Y56" s="32" t="str">
        <f>_xlfn.IFNA(VLOOKUP($C56&amp;","&amp;Y3,汇编指令!$C$2:$D$235,2,FALSE),"-1")</f>
        <v>-1</v>
      </c>
      <c r="Z56" s="32" t="str">
        <f>_xlfn.IFNA(VLOOKUP($C56&amp;","&amp;Z3,汇编指令!$C$2:$D$235,2,FALSE),"-1")</f>
        <v>-1</v>
      </c>
      <c r="AA56" s="32" t="str">
        <f>_xlfn.IFNA(VLOOKUP($C56&amp;","&amp;AA3,汇编指令!$C$2:$D$235,2,FALSE),"-1")</f>
        <v>-1</v>
      </c>
      <c r="AB56" s="53" t="str">
        <f>_xlfn.IFNA(VLOOKUP($C56&amp;","&amp;AB3,汇编指令!$C$2:$D$235,2,FALSE),"-1")</f>
        <v>-1</v>
      </c>
      <c r="AC56" s="55"/>
    </row>
    <row r="57" ht="20" customHeight="1" spans="1:28">
      <c r="A57" s="16">
        <v>2</v>
      </c>
      <c r="B57" s="21">
        <f t="shared" si="1"/>
        <v>53</v>
      </c>
      <c r="C57" s="24" t="s">
        <v>972</v>
      </c>
      <c r="D57" s="23" t="str">
        <f t="shared" si="2"/>
        <v>35</v>
      </c>
      <c r="E57" s="34" t="str">
        <f>_xlfn.IFNA(VLOOKUP($C57&amp;","&amp;E3,汇编指令!$C$2:$D$235,2,FALSE),"-1")</f>
        <v>-1</v>
      </c>
      <c r="F57" s="33" t="str">
        <f>_xlfn.IFNA(VLOOKUP($C57&amp;","&amp;F3,汇编指令!$C$2:$D$235,2,FALSE),"-1")</f>
        <v>28</v>
      </c>
      <c r="G57" s="33" t="str">
        <f>_xlfn.IFNA(VLOOKUP($C57&amp;","&amp;G3,汇编指令!$C$2:$D$235,2,FALSE),"-1")</f>
        <v>29</v>
      </c>
      <c r="H57" s="33" t="str">
        <f>_xlfn.IFNA(VLOOKUP($C57&amp;","&amp;H3,汇编指令!$C$2:$D$235,2,FALSE),"-1")</f>
        <v>2A</v>
      </c>
      <c r="I57" s="33" t="str">
        <f>_xlfn.IFNA(VLOOKUP($C57&amp;","&amp;I3,汇编指令!$C$2:$D$235,2,FALSE),"-1")</f>
        <v>2B</v>
      </c>
      <c r="J57" s="33" t="str">
        <f>_xlfn.IFNA(VLOOKUP($C57&amp;","&amp;J3,汇编指令!$C$2:$D$235,2,FALSE),"-1")</f>
        <v>2C</v>
      </c>
      <c r="K57" s="33" t="str">
        <f>_xlfn.IFNA(VLOOKUP($C57&amp;","&amp;K3,汇编指令!$C$2:$D$235,2,FALSE),"-1")</f>
        <v>2D</v>
      </c>
      <c r="L57" s="33" t="str">
        <f>_xlfn.IFNA(VLOOKUP($C57&amp;","&amp;L3,汇编指令!$C$2:$D$235,2,FALSE),"-1")</f>
        <v>2E</v>
      </c>
      <c r="M57" s="33" t="str">
        <f>_xlfn.IFNA(VLOOKUP($C57&amp;","&amp;M3,汇编指令!$C$2:$D$235,2,FALSE),"-1")</f>
        <v>2F</v>
      </c>
      <c r="N57" s="33" t="str">
        <f>_xlfn.IFNA(VLOOKUP($C57&amp;","&amp;N3,汇编指令!$C$2:$D$235,2,FALSE),"-1")</f>
        <v>24</v>
      </c>
      <c r="O57" s="33" t="str">
        <f>_xlfn.IFNA(VLOOKUP($C57&amp;","&amp;O3,汇编指令!$C$2:$D$235,2,FALSE),"-1")</f>
        <v>25</v>
      </c>
      <c r="P57" s="33" t="str">
        <f>_xlfn.IFNA(VLOOKUP($C57&amp;","&amp;P3,汇编指令!$C$2:$D$235,2,FALSE),"-1")</f>
        <v>26</v>
      </c>
      <c r="Q57" s="33" t="str">
        <f>_xlfn.IFNA(VLOOKUP($C57&amp;","&amp;Q3,汇编指令!$C$2:$D$235,2,FALSE),"-1")</f>
        <v>27</v>
      </c>
      <c r="R57" s="32" t="str">
        <f>_xlfn.IFNA(VLOOKUP($C57&amp;","&amp;R3,汇编指令!$C$2:$D$235,2,FALSE),"-1")</f>
        <v>-1</v>
      </c>
      <c r="S57" s="32" t="str">
        <f>_xlfn.IFNA(VLOOKUP($C57&amp;","&amp;S3,汇编指令!$C$2:$D$235,2,FALSE),"-1")</f>
        <v>-1</v>
      </c>
      <c r="T57" s="32" t="str">
        <f>_xlfn.IFNA(VLOOKUP($C57&amp;","&amp;T3,汇编指令!$C$2:$D$235,2,FALSE),"-1")</f>
        <v>-1</v>
      </c>
      <c r="U57" s="32" t="str">
        <f>_xlfn.IFNA(VLOOKUP($C57&amp;","&amp;U3,汇编指令!$C$2:$D$235,2,FALSE),"-1")</f>
        <v>-1</v>
      </c>
      <c r="V57" s="32" t="str">
        <f>_xlfn.IFNA(VLOOKUP($C57&amp;","&amp;V3,汇编指令!$C$2:$D$235,2,FALSE),"-1")</f>
        <v>-1</v>
      </c>
      <c r="W57" s="32" t="str">
        <f>_xlfn.IFNA(VLOOKUP($C57&amp;","&amp;W3,汇编指令!$C$2:$D$235,2,FALSE),"-1")</f>
        <v>-1</v>
      </c>
      <c r="X57" s="32" t="str">
        <f>_xlfn.IFNA(VLOOKUP($C57&amp;","&amp;X3,汇编指令!$C$2:$D$235,2,FALSE),"-1")</f>
        <v>-1</v>
      </c>
      <c r="Y57" s="32" t="str">
        <f>_xlfn.IFNA(VLOOKUP($C57&amp;","&amp;Y3,汇编指令!$C$2:$D$235,2,FALSE),"-1")</f>
        <v>-1</v>
      </c>
      <c r="Z57" s="32" t="str">
        <f>_xlfn.IFNA(VLOOKUP($C57&amp;","&amp;Z3,汇编指令!$C$2:$D$235,2,FALSE),"-1")</f>
        <v>-1</v>
      </c>
      <c r="AA57" s="32" t="str">
        <f>_xlfn.IFNA(VLOOKUP($C57&amp;","&amp;AA3,汇编指令!$C$2:$D$235,2,FALSE),"-1")</f>
        <v>-1</v>
      </c>
      <c r="AB57" s="53" t="str">
        <f>_xlfn.IFNA(VLOOKUP($C57&amp;","&amp;AB3,汇编指令!$C$2:$D$235,2,FALSE),"-1")</f>
        <v>-1</v>
      </c>
    </row>
    <row r="58" s="7" customFormat="1" ht="20" customHeight="1" spans="1:29">
      <c r="A58" s="16">
        <v>2</v>
      </c>
      <c r="B58" s="21">
        <f t="shared" si="1"/>
        <v>54</v>
      </c>
      <c r="C58" s="24" t="s">
        <v>973</v>
      </c>
      <c r="D58" s="23" t="str">
        <f t="shared" si="2"/>
        <v>36</v>
      </c>
      <c r="E58" s="34" t="str">
        <f>_xlfn.IFNA(VLOOKUP($C58&amp;","&amp;E3,汇编指令!$C$2:$D$235,2,FALSE),"-1")</f>
        <v>-1</v>
      </c>
      <c r="F58" s="33" t="str">
        <f>_xlfn.IFNA(VLOOKUP($C58&amp;","&amp;F3,汇编指令!$C$2:$D$235,2,FALSE),"-1")</f>
        <v>38</v>
      </c>
      <c r="G58" s="33" t="str">
        <f>_xlfn.IFNA(VLOOKUP($C58&amp;","&amp;G3,汇编指令!$C$2:$D$235,2,FALSE),"-1")</f>
        <v>39</v>
      </c>
      <c r="H58" s="33" t="str">
        <f>_xlfn.IFNA(VLOOKUP($C58&amp;","&amp;H3,汇编指令!$C$2:$D$235,2,FALSE),"-1")</f>
        <v>3A</v>
      </c>
      <c r="I58" s="33" t="str">
        <f>_xlfn.IFNA(VLOOKUP($C58&amp;","&amp;I3,汇编指令!$C$2:$D$235,2,FALSE),"-1")</f>
        <v>3B</v>
      </c>
      <c r="J58" s="33" t="str">
        <f>_xlfn.IFNA(VLOOKUP($C58&amp;","&amp;J3,汇编指令!$C$2:$D$235,2,FALSE),"-1")</f>
        <v>3C</v>
      </c>
      <c r="K58" s="33" t="str">
        <f>_xlfn.IFNA(VLOOKUP($C58&amp;","&amp;K3,汇编指令!$C$2:$D$235,2,FALSE),"-1")</f>
        <v>3D</v>
      </c>
      <c r="L58" s="33" t="str">
        <f>_xlfn.IFNA(VLOOKUP($C58&amp;","&amp;L3,汇编指令!$C$2:$D$235,2,FALSE),"-1")</f>
        <v>3E</v>
      </c>
      <c r="M58" s="33" t="str">
        <f>_xlfn.IFNA(VLOOKUP($C58&amp;","&amp;M3,汇编指令!$C$2:$D$235,2,FALSE),"-1")</f>
        <v>3F</v>
      </c>
      <c r="N58" s="33" t="str">
        <f>_xlfn.IFNA(VLOOKUP($C58&amp;","&amp;N3,汇编指令!$C$2:$D$235,2,FALSE),"-1")</f>
        <v>34</v>
      </c>
      <c r="O58" s="33" t="str">
        <f>_xlfn.IFNA(VLOOKUP($C58&amp;","&amp;O3,汇编指令!$C$2:$D$235,2,FALSE),"-1")</f>
        <v>35</v>
      </c>
      <c r="P58" s="33" t="str">
        <f>_xlfn.IFNA(VLOOKUP($C58&amp;","&amp;P3,汇编指令!$C$2:$D$235,2,FALSE),"-1")</f>
        <v>36</v>
      </c>
      <c r="Q58" s="33" t="str">
        <f>_xlfn.IFNA(VLOOKUP($C58&amp;","&amp;Q3,汇编指令!$C$2:$D$235,2,FALSE),"-1")</f>
        <v>37</v>
      </c>
      <c r="R58" s="32" t="str">
        <f>_xlfn.IFNA(VLOOKUP($C58&amp;","&amp;R3,汇编指令!$C$2:$D$235,2,FALSE),"-1")</f>
        <v>-1</v>
      </c>
      <c r="S58" s="32" t="str">
        <f>_xlfn.IFNA(VLOOKUP($C58&amp;","&amp;S3,汇编指令!$C$2:$D$235,2,FALSE),"-1")</f>
        <v>-1</v>
      </c>
      <c r="T58" s="32" t="str">
        <f>_xlfn.IFNA(VLOOKUP($C58&amp;","&amp;T3,汇编指令!$C$2:$D$235,2,FALSE),"-1")</f>
        <v>-1</v>
      </c>
      <c r="U58" s="32" t="str">
        <f>_xlfn.IFNA(VLOOKUP($C58&amp;","&amp;U3,汇编指令!$C$2:$D$235,2,FALSE),"-1")</f>
        <v>-1</v>
      </c>
      <c r="V58" s="32" t="str">
        <f>_xlfn.IFNA(VLOOKUP($C58&amp;","&amp;V3,汇编指令!$C$2:$D$235,2,FALSE),"-1")</f>
        <v>-1</v>
      </c>
      <c r="W58" s="32" t="str">
        <f>_xlfn.IFNA(VLOOKUP($C58&amp;","&amp;W3,汇编指令!$C$2:$D$235,2,FALSE),"-1")</f>
        <v>-1</v>
      </c>
      <c r="X58" s="32" t="str">
        <f>_xlfn.IFNA(VLOOKUP($C58&amp;","&amp;X3,汇编指令!$C$2:$D$235,2,FALSE),"-1")</f>
        <v>-1</v>
      </c>
      <c r="Y58" s="32" t="str">
        <f>_xlfn.IFNA(VLOOKUP($C58&amp;","&amp;Y3,汇编指令!$C$2:$D$235,2,FALSE),"-1")</f>
        <v>-1</v>
      </c>
      <c r="Z58" s="32" t="str">
        <f>_xlfn.IFNA(VLOOKUP($C58&amp;","&amp;Z3,汇编指令!$C$2:$D$235,2,FALSE),"-1")</f>
        <v>-1</v>
      </c>
      <c r="AA58" s="32" t="str">
        <f>_xlfn.IFNA(VLOOKUP($C58&amp;","&amp;AA3,汇编指令!$C$2:$D$235,2,FALSE),"-1")</f>
        <v>-1</v>
      </c>
      <c r="AB58" s="53" t="str">
        <f>_xlfn.IFNA(VLOOKUP($C58&amp;","&amp;AB3,汇编指令!$C$2:$D$235,2,FALSE),"-1")</f>
        <v>-1</v>
      </c>
      <c r="AC58" s="55"/>
    </row>
    <row r="59" ht="20" customHeight="1" spans="1:28">
      <c r="A59" s="16">
        <v>2</v>
      </c>
      <c r="B59" s="21">
        <f t="shared" si="1"/>
        <v>55</v>
      </c>
      <c r="C59" s="24" t="s">
        <v>974</v>
      </c>
      <c r="D59" s="23" t="str">
        <f t="shared" si="2"/>
        <v>37</v>
      </c>
      <c r="E59" s="34" t="str">
        <f>_xlfn.IFNA(VLOOKUP($C59&amp;","&amp;E3,汇编指令!$C$2:$D$235,2,FALSE),"-1")</f>
        <v>-1</v>
      </c>
      <c r="F59" s="33" t="str">
        <f>_xlfn.IFNA(VLOOKUP($C59&amp;","&amp;F3,汇编指令!$C$2:$D$235,2,FALSE),"-1")</f>
        <v>58</v>
      </c>
      <c r="G59" s="33" t="str">
        <f>_xlfn.IFNA(VLOOKUP($C59&amp;","&amp;G3,汇编指令!$C$2:$D$235,2,FALSE),"-1")</f>
        <v>59</v>
      </c>
      <c r="H59" s="33" t="str">
        <f>_xlfn.IFNA(VLOOKUP($C59&amp;","&amp;H3,汇编指令!$C$2:$D$235,2,FALSE),"-1")</f>
        <v>5A</v>
      </c>
      <c r="I59" s="33" t="str">
        <f>_xlfn.IFNA(VLOOKUP($C59&amp;","&amp;I3,汇编指令!$C$2:$D$235,2,FALSE),"-1")</f>
        <v>5B</v>
      </c>
      <c r="J59" s="33" t="str">
        <f>_xlfn.IFNA(VLOOKUP($C59&amp;","&amp;J3,汇编指令!$C$2:$D$235,2,FALSE),"-1")</f>
        <v>5C</v>
      </c>
      <c r="K59" s="33" t="str">
        <f>_xlfn.IFNA(VLOOKUP($C59&amp;","&amp;K3,汇编指令!$C$2:$D$235,2,FALSE),"-1")</f>
        <v>5D</v>
      </c>
      <c r="L59" s="33" t="str">
        <f>_xlfn.IFNA(VLOOKUP($C59&amp;","&amp;L3,汇编指令!$C$2:$D$235,2,FALSE),"-1")</f>
        <v>5E</v>
      </c>
      <c r="M59" s="33" t="str">
        <f>_xlfn.IFNA(VLOOKUP($C59&amp;","&amp;M3,汇编指令!$C$2:$D$235,2,FALSE),"-1")</f>
        <v>5F</v>
      </c>
      <c r="N59" s="33" t="str">
        <f>_xlfn.IFNA(VLOOKUP($C59&amp;","&amp;N3,汇编指令!$C$2:$D$235,2,FALSE),"-1")</f>
        <v>54</v>
      </c>
      <c r="O59" s="33" t="str">
        <f>_xlfn.IFNA(VLOOKUP($C59&amp;","&amp;O3,汇编指令!$C$2:$D$235,2,FALSE),"-1")</f>
        <v>55</v>
      </c>
      <c r="P59" s="33" t="str">
        <f>_xlfn.IFNA(VLOOKUP($C59&amp;","&amp;P3,汇编指令!$C$2:$D$235,2,FALSE),"-1")</f>
        <v>56</v>
      </c>
      <c r="Q59" s="33" t="str">
        <f>_xlfn.IFNA(VLOOKUP($C59&amp;","&amp;Q3,汇编指令!$C$2:$D$235,2,FALSE),"-1")</f>
        <v>57</v>
      </c>
      <c r="R59" s="32" t="str">
        <f>_xlfn.IFNA(VLOOKUP($C59&amp;","&amp;R3,汇编指令!$C$2:$D$235,2,FALSE),"-1")</f>
        <v>-1</v>
      </c>
      <c r="S59" s="32" t="str">
        <f>_xlfn.IFNA(VLOOKUP($C59&amp;","&amp;S3,汇编指令!$C$2:$D$235,2,FALSE),"-1")</f>
        <v>-1</v>
      </c>
      <c r="T59" s="32" t="str">
        <f>_xlfn.IFNA(VLOOKUP($C59&amp;","&amp;T3,汇编指令!$C$2:$D$235,2,FALSE),"-1")</f>
        <v>-1</v>
      </c>
      <c r="U59" s="32" t="str">
        <f>_xlfn.IFNA(VLOOKUP($C59&amp;","&amp;U3,汇编指令!$C$2:$D$235,2,FALSE),"-1")</f>
        <v>-1</v>
      </c>
      <c r="V59" s="32" t="str">
        <f>_xlfn.IFNA(VLOOKUP($C59&amp;","&amp;V3,汇编指令!$C$2:$D$235,2,FALSE),"-1")</f>
        <v>-1</v>
      </c>
      <c r="W59" s="32" t="str">
        <f>_xlfn.IFNA(VLOOKUP($C59&amp;","&amp;W3,汇编指令!$C$2:$D$235,2,FALSE),"-1")</f>
        <v>-1</v>
      </c>
      <c r="X59" s="32" t="str">
        <f>_xlfn.IFNA(VLOOKUP($C59&amp;","&amp;X3,汇编指令!$C$2:$D$235,2,FALSE),"-1")</f>
        <v>-1</v>
      </c>
      <c r="Y59" s="32" t="str">
        <f>_xlfn.IFNA(VLOOKUP($C59&amp;","&amp;Y3,汇编指令!$C$2:$D$235,2,FALSE),"-1")</f>
        <v>-1</v>
      </c>
      <c r="Z59" s="32" t="str">
        <f>_xlfn.IFNA(VLOOKUP($C59&amp;","&amp;Z3,汇编指令!$C$2:$D$235,2,FALSE),"-1")</f>
        <v>-1</v>
      </c>
      <c r="AA59" s="32" t="str">
        <f>_xlfn.IFNA(VLOOKUP($C59&amp;","&amp;AA3,汇编指令!$C$2:$D$235,2,FALSE),"-1")</f>
        <v>-1</v>
      </c>
      <c r="AB59" s="53" t="str">
        <f>_xlfn.IFNA(VLOOKUP($C59&amp;","&amp;AB3,汇编指令!$C$2:$D$235,2,FALSE),"-1")</f>
        <v>-1</v>
      </c>
    </row>
    <row r="60" ht="20" customHeight="1" spans="1:28">
      <c r="A60" s="16">
        <v>2</v>
      </c>
      <c r="B60" s="21">
        <f t="shared" si="1"/>
        <v>56</v>
      </c>
      <c r="C60" s="24" t="s">
        <v>975</v>
      </c>
      <c r="D60" s="23" t="str">
        <f t="shared" si="2"/>
        <v>38</v>
      </c>
      <c r="E60" s="34" t="str">
        <f>_xlfn.IFNA(VLOOKUP($C60&amp;","&amp;E3,汇编指令!$C$2:$D$235,2,FALSE),"-1")</f>
        <v>-1</v>
      </c>
      <c r="F60" s="32" t="str">
        <f>_xlfn.IFNA(VLOOKUP($C60&amp;","&amp;F3,汇编指令!$C$2:$D$235,2,FALSE),"-1")</f>
        <v>-1</v>
      </c>
      <c r="G60" s="32" t="str">
        <f>_xlfn.IFNA(VLOOKUP($C60&amp;","&amp;G3,汇编指令!$C$2:$D$235,2,FALSE),"-1")</f>
        <v>-1</v>
      </c>
      <c r="H60" s="32" t="str">
        <f>_xlfn.IFNA(VLOOKUP($C60&amp;","&amp;H3,汇编指令!$C$2:$D$235,2,FALSE),"-1")</f>
        <v>-1</v>
      </c>
      <c r="I60" s="32" t="str">
        <f>_xlfn.IFNA(VLOOKUP($C60&amp;","&amp;I3,汇编指令!$C$2:$D$235,2,FALSE),"-1")</f>
        <v>-1</v>
      </c>
      <c r="J60" s="32" t="str">
        <f>_xlfn.IFNA(VLOOKUP($C60&amp;","&amp;J3,汇编指令!$C$2:$D$235,2,FALSE),"-1")</f>
        <v>-1</v>
      </c>
      <c r="K60" s="32" t="str">
        <f>_xlfn.IFNA(VLOOKUP($C60&amp;","&amp;K3,汇编指令!$C$2:$D$235,2,FALSE),"-1")</f>
        <v>-1</v>
      </c>
      <c r="L60" s="32" t="str">
        <f>_xlfn.IFNA(VLOOKUP($C60&amp;","&amp;L3,汇编指令!$C$2:$D$235,2,FALSE),"-1")</f>
        <v>-1</v>
      </c>
      <c r="M60" s="32" t="str">
        <f>_xlfn.IFNA(VLOOKUP($C60&amp;","&amp;M3,汇编指令!$C$2:$D$235,2,FALSE),"-1")</f>
        <v>-1</v>
      </c>
      <c r="N60" s="32" t="str">
        <f>_xlfn.IFNA(VLOOKUP($C60&amp;","&amp;N3,汇编指令!$C$2:$D$235,2,FALSE),"-1")</f>
        <v>-1</v>
      </c>
      <c r="O60" s="32" t="str">
        <f>_xlfn.IFNA(VLOOKUP($C60&amp;","&amp;O3,汇编指令!$C$2:$D$235,2,FALSE),"-1")</f>
        <v>-1</v>
      </c>
      <c r="P60" s="32" t="str">
        <f>_xlfn.IFNA(VLOOKUP($C60&amp;","&amp;P3,汇编指令!$C$2:$D$235,2,FALSE),"-1")</f>
        <v>-1</v>
      </c>
      <c r="Q60" s="32" t="str">
        <f>_xlfn.IFNA(VLOOKUP($C60&amp;","&amp;Q3,汇编指令!$C$2:$D$235,2,FALSE),"-1")</f>
        <v>-1</v>
      </c>
      <c r="R60" s="32" t="str">
        <f>_xlfn.IFNA(VLOOKUP($C60&amp;","&amp;R3,汇编指令!$C$2:$D$235,2,FALSE),"-1")</f>
        <v>-1</v>
      </c>
      <c r="S60" s="32" t="str">
        <f>_xlfn.IFNA(VLOOKUP($C60&amp;","&amp;S3,汇编指令!$C$2:$D$235,2,FALSE),"-1")</f>
        <v>-1</v>
      </c>
      <c r="T60" s="32" t="str">
        <f>_xlfn.IFNA(VLOOKUP($C60&amp;","&amp;T3,汇编指令!$C$2:$D$235,2,FALSE),"-1")</f>
        <v>-1</v>
      </c>
      <c r="U60" s="32" t="str">
        <f>_xlfn.IFNA(VLOOKUP($C60&amp;","&amp;U3,汇编指令!$C$2:$D$235,2,FALSE),"-1")</f>
        <v>-1</v>
      </c>
      <c r="V60" s="32" t="str">
        <f>_xlfn.IFNA(VLOOKUP($C60&amp;","&amp;V3,汇编指令!$C$2:$D$235,2,FALSE),"-1")</f>
        <v>-1</v>
      </c>
      <c r="W60" s="32" t="str">
        <f>_xlfn.IFNA(VLOOKUP($C60&amp;","&amp;W3,汇编指令!$C$2:$D$235,2,FALSE),"-1")</f>
        <v>-1</v>
      </c>
      <c r="X60" s="32" t="str">
        <f>_xlfn.IFNA(VLOOKUP($C60&amp;","&amp;X3,汇编指令!$C$2:$D$235,2,FALSE),"-1")</f>
        <v>-1</v>
      </c>
      <c r="Y60" s="33" t="str">
        <f>_xlfn.IFNA(VLOOKUP($C60&amp;","&amp;Y3,汇编指令!$C$2:$D$235,2,FALSE),"-1")</f>
        <v>82</v>
      </c>
      <c r="Z60" s="32" t="str">
        <f>_xlfn.IFNA(VLOOKUP($C60&amp;","&amp;Z3,汇编指令!$C$2:$D$235,2,FALSE),"-1")</f>
        <v>-1</v>
      </c>
      <c r="AA60" s="32" t="str">
        <f>_xlfn.IFNA(VLOOKUP($C60&amp;","&amp;AA3,汇编指令!$C$2:$D$235,2,FALSE),"-1")</f>
        <v>-1</v>
      </c>
      <c r="AB60" s="54" t="str">
        <f>_xlfn.IFNA(VLOOKUP($C60&amp;","&amp;AB3,汇编指令!$C$2:$D$235,2,FALSE),"-1")</f>
        <v>B0</v>
      </c>
    </row>
    <row r="61" ht="20" customHeight="1" spans="1:28">
      <c r="A61" s="16">
        <v>2</v>
      </c>
      <c r="B61" s="21">
        <f t="shared" si="1"/>
        <v>57</v>
      </c>
      <c r="C61" s="24" t="s">
        <v>976</v>
      </c>
      <c r="D61" s="23" t="str">
        <f t="shared" si="2"/>
        <v>39</v>
      </c>
      <c r="E61" s="34" t="str">
        <f>_xlfn.IFNA(VLOOKUP($C61&amp;","&amp;E3,汇编指令!$C$2:$D$235,2,FALSE),"-1")</f>
        <v>-1</v>
      </c>
      <c r="F61" s="32" t="str">
        <f>_xlfn.IFNA(VLOOKUP($C61&amp;","&amp;F3,汇编指令!$C$2:$D$235,2,FALSE),"-1")</f>
        <v>-1</v>
      </c>
      <c r="G61" s="32" t="str">
        <f>_xlfn.IFNA(VLOOKUP($C61&amp;","&amp;G3,汇编指令!$C$2:$D$235,2,FALSE),"-1")</f>
        <v>-1</v>
      </c>
      <c r="H61" s="32" t="str">
        <f>_xlfn.IFNA(VLOOKUP($C61&amp;","&amp;H3,汇编指令!$C$2:$D$235,2,FALSE),"-1")</f>
        <v>-1</v>
      </c>
      <c r="I61" s="32" t="str">
        <f>_xlfn.IFNA(VLOOKUP($C61&amp;","&amp;I3,汇编指令!$C$2:$D$235,2,FALSE),"-1")</f>
        <v>-1</v>
      </c>
      <c r="J61" s="32" t="str">
        <f>_xlfn.IFNA(VLOOKUP($C61&amp;","&amp;J3,汇编指令!$C$2:$D$235,2,FALSE),"-1")</f>
        <v>-1</v>
      </c>
      <c r="K61" s="32" t="str">
        <f>_xlfn.IFNA(VLOOKUP($C61&amp;","&amp;K3,汇编指令!$C$2:$D$235,2,FALSE),"-1")</f>
        <v>-1</v>
      </c>
      <c r="L61" s="32" t="str">
        <f>_xlfn.IFNA(VLOOKUP($C61&amp;","&amp;L3,汇编指令!$C$2:$D$235,2,FALSE),"-1")</f>
        <v>-1</v>
      </c>
      <c r="M61" s="32" t="str">
        <f>_xlfn.IFNA(VLOOKUP($C61&amp;","&amp;M3,汇编指令!$C$2:$D$235,2,FALSE),"-1")</f>
        <v>-1</v>
      </c>
      <c r="N61" s="33" t="str">
        <f>_xlfn.IFNA(VLOOKUP($C61&amp;","&amp;N3,汇编指令!$C$2:$D$235,2,FALSE),"-1")</f>
        <v>52</v>
      </c>
      <c r="O61" s="32" t="str">
        <f>_xlfn.IFNA(VLOOKUP($C61&amp;","&amp;O3,汇编指令!$C$2:$D$235,2,FALSE),"-1")</f>
        <v>-1</v>
      </c>
      <c r="P61" s="32" t="str">
        <f>_xlfn.IFNA(VLOOKUP($C61&amp;","&amp;P3,汇编指令!$C$2:$D$235,2,FALSE),"-1")</f>
        <v>-1</v>
      </c>
      <c r="Q61" s="32" t="str">
        <f>_xlfn.IFNA(VLOOKUP($C61&amp;","&amp;Q3,汇编指令!$C$2:$D$235,2,FALSE),"-1")</f>
        <v>-1</v>
      </c>
      <c r="R61" s="32" t="str">
        <f>_xlfn.IFNA(VLOOKUP($C61&amp;","&amp;R3,汇编指令!$C$2:$D$235,2,FALSE),"-1")</f>
        <v>-1</v>
      </c>
      <c r="S61" s="32" t="str">
        <f>_xlfn.IFNA(VLOOKUP($C61&amp;","&amp;S3,汇编指令!$C$2:$D$235,2,FALSE),"-1")</f>
        <v>-1</v>
      </c>
      <c r="T61" s="32" t="str">
        <f>_xlfn.IFNA(VLOOKUP($C61&amp;","&amp;T3,汇编指令!$C$2:$D$235,2,FALSE),"-1")</f>
        <v>-1</v>
      </c>
      <c r="U61" s="32" t="str">
        <f>_xlfn.IFNA(VLOOKUP($C61&amp;","&amp;U3,汇编指令!$C$2:$D$235,2,FALSE),"-1")</f>
        <v>-1</v>
      </c>
      <c r="V61" s="32" t="str">
        <f>_xlfn.IFNA(VLOOKUP($C61&amp;","&amp;V3,汇编指令!$C$2:$D$235,2,FALSE),"-1")</f>
        <v>-1</v>
      </c>
      <c r="W61" s="32" t="str">
        <f>_xlfn.IFNA(VLOOKUP($C61&amp;","&amp;W3,汇编指令!$C$2:$D$235,2,FALSE),"-1")</f>
        <v>-1</v>
      </c>
      <c r="X61" s="32" t="str">
        <f>_xlfn.IFNA(VLOOKUP($C61&amp;","&amp;X3,汇编指令!$C$2:$D$235,2,FALSE),"-1")</f>
        <v>-1</v>
      </c>
      <c r="Y61" s="32" t="str">
        <f>_xlfn.IFNA(VLOOKUP($C61&amp;","&amp;Y3,汇编指令!$C$2:$D$235,2,FALSE),"-1")</f>
        <v>-1</v>
      </c>
      <c r="Z61" s="32" t="str">
        <f>_xlfn.IFNA(VLOOKUP($C61&amp;","&amp;Z3,汇编指令!$C$2:$D$235,2,FALSE),"-1")</f>
        <v>-1</v>
      </c>
      <c r="AA61" s="32" t="str">
        <f>_xlfn.IFNA(VLOOKUP($C61&amp;","&amp;AA3,汇编指令!$C$2:$D$235,2,FALSE),"-1")</f>
        <v>-1</v>
      </c>
      <c r="AB61" s="53" t="str">
        <f>_xlfn.IFNA(VLOOKUP($C61&amp;","&amp;AB3,汇编指令!$C$2:$D$235,2,FALSE),"-1")</f>
        <v>-1</v>
      </c>
    </row>
    <row r="62" ht="20" customHeight="1" spans="1:28">
      <c r="A62" s="16">
        <v>2</v>
      </c>
      <c r="B62" s="21">
        <f t="shared" si="1"/>
        <v>58</v>
      </c>
      <c r="C62" s="24" t="s">
        <v>977</v>
      </c>
      <c r="D62" s="23" t="str">
        <f t="shared" si="2"/>
        <v>3A</v>
      </c>
      <c r="E62" s="34" t="str">
        <f>_xlfn.IFNA(VLOOKUP($C62&amp;","&amp;E3,汇编指令!$C$2:$D$235,2,FALSE),"-1")</f>
        <v>-1</v>
      </c>
      <c r="F62" s="32" t="str">
        <f>_xlfn.IFNA(VLOOKUP($C62&amp;","&amp;F3,汇编指令!$C$2:$D$235,2,FALSE),"-1")</f>
        <v>-1</v>
      </c>
      <c r="G62" s="32" t="str">
        <f>_xlfn.IFNA(VLOOKUP($C62&amp;","&amp;G3,汇编指令!$C$2:$D$235,2,FALSE),"-1")</f>
        <v>-1</v>
      </c>
      <c r="H62" s="32" t="str">
        <f>_xlfn.IFNA(VLOOKUP($C62&amp;","&amp;H3,汇编指令!$C$2:$D$235,2,FALSE),"-1")</f>
        <v>-1</v>
      </c>
      <c r="I62" s="32" t="str">
        <f>_xlfn.IFNA(VLOOKUP($C62&amp;","&amp;I3,汇编指令!$C$2:$D$235,2,FALSE),"-1")</f>
        <v>-1</v>
      </c>
      <c r="J62" s="32" t="str">
        <f>_xlfn.IFNA(VLOOKUP($C62&amp;","&amp;J3,汇编指令!$C$2:$D$235,2,FALSE),"-1")</f>
        <v>-1</v>
      </c>
      <c r="K62" s="32" t="str">
        <f>_xlfn.IFNA(VLOOKUP($C62&amp;","&amp;K3,汇编指令!$C$2:$D$235,2,FALSE),"-1")</f>
        <v>-1</v>
      </c>
      <c r="L62" s="32" t="str">
        <f>_xlfn.IFNA(VLOOKUP($C62&amp;","&amp;L3,汇编指令!$C$2:$D$235,2,FALSE),"-1")</f>
        <v>-1</v>
      </c>
      <c r="M62" s="32" t="str">
        <f>_xlfn.IFNA(VLOOKUP($C62&amp;","&amp;M3,汇编指令!$C$2:$D$235,2,FALSE),"-1")</f>
        <v>-1</v>
      </c>
      <c r="N62" s="32" t="str">
        <f>_xlfn.IFNA(VLOOKUP($C62&amp;","&amp;N3,汇编指令!$C$2:$D$235,2,FALSE),"-1")</f>
        <v>-1</v>
      </c>
      <c r="O62" s="32" t="str">
        <f>_xlfn.IFNA(VLOOKUP($C62&amp;","&amp;O3,汇编指令!$C$2:$D$235,2,FALSE),"-1")</f>
        <v>-1</v>
      </c>
      <c r="P62" s="32" t="str">
        <f>_xlfn.IFNA(VLOOKUP($C62&amp;","&amp;P3,汇编指令!$C$2:$D$235,2,FALSE),"-1")</f>
        <v>-1</v>
      </c>
      <c r="Q62" s="32" t="str">
        <f>_xlfn.IFNA(VLOOKUP($C62&amp;","&amp;Q3,汇编指令!$C$2:$D$235,2,FALSE),"-1")</f>
        <v>-1</v>
      </c>
      <c r="R62" s="32" t="str">
        <f>_xlfn.IFNA(VLOOKUP($C62&amp;","&amp;R3,汇编指令!$C$2:$D$235,2,FALSE),"-1")</f>
        <v>-1</v>
      </c>
      <c r="S62" s="32" t="str">
        <f>_xlfn.IFNA(VLOOKUP($C62&amp;","&amp;S3,汇编指令!$C$2:$D$235,2,FALSE),"-1")</f>
        <v>-1</v>
      </c>
      <c r="T62" s="32" t="str">
        <f>_xlfn.IFNA(VLOOKUP($C62&amp;","&amp;T3,汇编指令!$C$2:$D$235,2,FALSE),"-1")</f>
        <v>-1</v>
      </c>
      <c r="U62" s="32" t="str">
        <f>_xlfn.IFNA(VLOOKUP($C62&amp;","&amp;U3,汇编指令!$C$2:$D$235,2,FALSE),"-1")</f>
        <v>-1</v>
      </c>
      <c r="V62" s="32" t="str">
        <f>_xlfn.IFNA(VLOOKUP($C62&amp;","&amp;V3,汇编指令!$C$2:$D$235,2,FALSE),"-1")</f>
        <v>-1</v>
      </c>
      <c r="W62" s="32" t="str">
        <f>_xlfn.IFNA(VLOOKUP($C62&amp;","&amp;W3,汇编指令!$C$2:$D$235,2,FALSE),"-1")</f>
        <v>-1</v>
      </c>
      <c r="X62" s="33" t="str">
        <f>_xlfn.IFNA(VLOOKUP($C62&amp;","&amp;X3,汇编指令!$C$2:$D$235,2,FALSE),"-1")</f>
        <v>D8</v>
      </c>
      <c r="Y62" s="32" t="str">
        <f>_xlfn.IFNA(VLOOKUP($C62&amp;","&amp;Y3,汇编指令!$C$2:$D$235,2,FALSE),"-1")</f>
        <v>-1</v>
      </c>
      <c r="Z62" s="32" t="str">
        <f>_xlfn.IFNA(VLOOKUP($C62&amp;","&amp;Z3,汇编指令!$C$2:$D$235,2,FALSE),"-1")</f>
        <v>-1</v>
      </c>
      <c r="AA62" s="32" t="str">
        <f>_xlfn.IFNA(VLOOKUP($C62&amp;","&amp;AA3,汇编指令!$C$2:$D$235,2,FALSE),"-1")</f>
        <v>-1</v>
      </c>
      <c r="AB62" s="53" t="str">
        <f>_xlfn.IFNA(VLOOKUP($C62&amp;","&amp;AB3,汇编指令!$C$2:$D$235,2,FALSE),"-1")</f>
        <v>-1</v>
      </c>
    </row>
    <row r="63" ht="20" customHeight="1" spans="1:28">
      <c r="A63" s="16">
        <v>2</v>
      </c>
      <c r="B63" s="21">
        <f t="shared" si="1"/>
        <v>59</v>
      </c>
      <c r="C63" s="24" t="s">
        <v>978</v>
      </c>
      <c r="D63" s="23" t="str">
        <f t="shared" si="2"/>
        <v>3B</v>
      </c>
      <c r="E63" s="34" t="str">
        <f>_xlfn.IFNA(VLOOKUP($C63&amp;","&amp;E3,汇编指令!$C$2:$D$235,2,FALSE),"-1")</f>
        <v>-1</v>
      </c>
      <c r="F63" s="32" t="str">
        <f>_xlfn.IFNA(VLOOKUP($C63&amp;","&amp;F3,汇编指令!$C$2:$D$235,2,FALSE),"-1")</f>
        <v>-1</v>
      </c>
      <c r="G63" s="32" t="str">
        <f>_xlfn.IFNA(VLOOKUP($C63&amp;","&amp;G3,汇编指令!$C$2:$D$235,2,FALSE),"-1")</f>
        <v>-1</v>
      </c>
      <c r="H63" s="32" t="str">
        <f>_xlfn.IFNA(VLOOKUP($C63&amp;","&amp;H3,汇编指令!$C$2:$D$235,2,FALSE),"-1")</f>
        <v>-1</v>
      </c>
      <c r="I63" s="32" t="str">
        <f>_xlfn.IFNA(VLOOKUP($C63&amp;","&amp;I3,汇编指令!$C$2:$D$235,2,FALSE),"-1")</f>
        <v>-1</v>
      </c>
      <c r="J63" s="32" t="str">
        <f>_xlfn.IFNA(VLOOKUP($C63&amp;","&amp;J3,汇编指令!$C$2:$D$235,2,FALSE),"-1")</f>
        <v>-1</v>
      </c>
      <c r="K63" s="32" t="str">
        <f>_xlfn.IFNA(VLOOKUP($C63&amp;","&amp;K3,汇编指令!$C$2:$D$235,2,FALSE),"-1")</f>
        <v>-1</v>
      </c>
      <c r="L63" s="32" t="str">
        <f>_xlfn.IFNA(VLOOKUP($C63&amp;","&amp;L3,汇编指令!$C$2:$D$235,2,FALSE),"-1")</f>
        <v>-1</v>
      </c>
      <c r="M63" s="32" t="str">
        <f>_xlfn.IFNA(VLOOKUP($C63&amp;","&amp;M3,汇编指令!$C$2:$D$235,2,FALSE),"-1")</f>
        <v>-1</v>
      </c>
      <c r="N63" s="32" t="str">
        <f>_xlfn.IFNA(VLOOKUP($C63&amp;","&amp;N3,汇编指令!$C$2:$D$235,2,FALSE),"-1")</f>
        <v>-1</v>
      </c>
      <c r="O63" s="32" t="str">
        <f>_xlfn.IFNA(VLOOKUP($C63&amp;","&amp;O3,汇编指令!$C$2:$D$235,2,FALSE),"-1")</f>
        <v>-1</v>
      </c>
      <c r="P63" s="32" t="str">
        <f>_xlfn.IFNA(VLOOKUP($C63&amp;","&amp;P3,汇编指令!$C$2:$D$235,2,FALSE),"-1")</f>
        <v>-1</v>
      </c>
      <c r="Q63" s="32" t="str">
        <f>_xlfn.IFNA(VLOOKUP($C63&amp;","&amp;Q3,汇编指令!$C$2:$D$235,2,FALSE),"-1")</f>
        <v>-1</v>
      </c>
      <c r="R63" s="32" t="str">
        <f>_xlfn.IFNA(VLOOKUP($C63&amp;","&amp;R3,汇编指令!$C$2:$D$235,2,FALSE),"-1")</f>
        <v>-1</v>
      </c>
      <c r="S63" s="32" t="str">
        <f>_xlfn.IFNA(VLOOKUP($C63&amp;","&amp;S3,汇编指令!$C$2:$D$235,2,FALSE),"-1")</f>
        <v>-1</v>
      </c>
      <c r="T63" s="32" t="str">
        <f>_xlfn.IFNA(VLOOKUP($C63&amp;","&amp;T3,汇编指令!$C$2:$D$235,2,FALSE),"-1")</f>
        <v>-1</v>
      </c>
      <c r="U63" s="32" t="str">
        <f>_xlfn.IFNA(VLOOKUP($C63&amp;","&amp;U3,汇编指令!$C$2:$D$235,2,FALSE),"-1")</f>
        <v>-1</v>
      </c>
      <c r="V63" s="32" t="str">
        <f>_xlfn.IFNA(VLOOKUP($C63&amp;","&amp;V3,汇编指令!$C$2:$D$235,2,FALSE),"-1")</f>
        <v>-1</v>
      </c>
      <c r="W63" s="32" t="str">
        <f>_xlfn.IFNA(VLOOKUP($C63&amp;","&amp;W3,汇编指令!$C$2:$D$235,2,FALSE),"-1")</f>
        <v>-1</v>
      </c>
      <c r="X63" s="33" t="str">
        <f>_xlfn.IFNA(VLOOKUP($C63&amp;","&amp;X3,汇编指令!$C$2:$D$235,2,FALSE),"-1")</f>
        <v>D9</v>
      </c>
      <c r="Y63" s="32" t="str">
        <f>_xlfn.IFNA(VLOOKUP($C63&amp;","&amp;Y3,汇编指令!$C$2:$D$235,2,FALSE),"-1")</f>
        <v>-1</v>
      </c>
      <c r="Z63" s="32" t="str">
        <f>_xlfn.IFNA(VLOOKUP($C63&amp;","&amp;Z3,汇编指令!$C$2:$D$235,2,FALSE),"-1")</f>
        <v>-1</v>
      </c>
      <c r="AA63" s="32" t="str">
        <f>_xlfn.IFNA(VLOOKUP($C63&amp;","&amp;AA3,汇编指令!$C$2:$D$235,2,FALSE),"-1")</f>
        <v>-1</v>
      </c>
      <c r="AB63" s="53" t="str">
        <f>_xlfn.IFNA(VLOOKUP($C63&amp;","&amp;AB3,汇编指令!$C$2:$D$235,2,FALSE),"-1")</f>
        <v>-1</v>
      </c>
    </row>
    <row r="64" ht="20" customHeight="1" spans="1:28">
      <c r="A64" s="16">
        <v>2</v>
      </c>
      <c r="B64" s="21">
        <f t="shared" si="1"/>
        <v>60</v>
      </c>
      <c r="C64" s="24" t="s">
        <v>979</v>
      </c>
      <c r="D64" s="23" t="str">
        <f t="shared" si="2"/>
        <v>3C</v>
      </c>
      <c r="E64" s="34" t="str">
        <f>_xlfn.IFNA(VLOOKUP($C64&amp;","&amp;E3,汇编指令!$C$2:$D$235,2,FALSE),"-1")</f>
        <v>-1</v>
      </c>
      <c r="F64" s="32" t="str">
        <f>_xlfn.IFNA(VLOOKUP($C64&amp;","&amp;F3,汇编指令!$C$2:$D$235,2,FALSE),"-1")</f>
        <v>-1</v>
      </c>
      <c r="G64" s="32" t="str">
        <f>_xlfn.IFNA(VLOOKUP($C64&amp;","&amp;G3,汇编指令!$C$2:$D$235,2,FALSE),"-1")</f>
        <v>-1</v>
      </c>
      <c r="H64" s="32" t="str">
        <f>_xlfn.IFNA(VLOOKUP($C64&amp;","&amp;H3,汇编指令!$C$2:$D$235,2,FALSE),"-1")</f>
        <v>-1</v>
      </c>
      <c r="I64" s="32" t="str">
        <f>_xlfn.IFNA(VLOOKUP($C64&amp;","&amp;I3,汇编指令!$C$2:$D$235,2,FALSE),"-1")</f>
        <v>-1</v>
      </c>
      <c r="J64" s="32" t="str">
        <f>_xlfn.IFNA(VLOOKUP($C64&amp;","&amp;J3,汇编指令!$C$2:$D$235,2,FALSE),"-1")</f>
        <v>-1</v>
      </c>
      <c r="K64" s="32" t="str">
        <f>_xlfn.IFNA(VLOOKUP($C64&amp;","&amp;K3,汇编指令!$C$2:$D$235,2,FALSE),"-1")</f>
        <v>-1</v>
      </c>
      <c r="L64" s="32" t="str">
        <f>_xlfn.IFNA(VLOOKUP($C64&amp;","&amp;L3,汇编指令!$C$2:$D$235,2,FALSE),"-1")</f>
        <v>-1</v>
      </c>
      <c r="M64" s="32" t="str">
        <f>_xlfn.IFNA(VLOOKUP($C64&amp;","&amp;M3,汇编指令!$C$2:$D$235,2,FALSE),"-1")</f>
        <v>-1</v>
      </c>
      <c r="N64" s="32" t="str">
        <f>_xlfn.IFNA(VLOOKUP($C64&amp;","&amp;N3,汇编指令!$C$2:$D$235,2,FALSE),"-1")</f>
        <v>-1</v>
      </c>
      <c r="O64" s="32" t="str">
        <f>_xlfn.IFNA(VLOOKUP($C64&amp;","&amp;O3,汇编指令!$C$2:$D$235,2,FALSE),"-1")</f>
        <v>-1</v>
      </c>
      <c r="P64" s="32" t="str">
        <f>_xlfn.IFNA(VLOOKUP($C64&amp;","&amp;P3,汇编指令!$C$2:$D$235,2,FALSE),"-1")</f>
        <v>-1</v>
      </c>
      <c r="Q64" s="32" t="str">
        <f>_xlfn.IFNA(VLOOKUP($C64&amp;","&amp;Q3,汇编指令!$C$2:$D$235,2,FALSE),"-1")</f>
        <v>-1</v>
      </c>
      <c r="R64" s="32" t="str">
        <f>_xlfn.IFNA(VLOOKUP($C64&amp;","&amp;R3,汇编指令!$C$2:$D$235,2,FALSE),"-1")</f>
        <v>-1</v>
      </c>
      <c r="S64" s="32" t="str">
        <f>_xlfn.IFNA(VLOOKUP($C64&amp;","&amp;S3,汇编指令!$C$2:$D$235,2,FALSE),"-1")</f>
        <v>-1</v>
      </c>
      <c r="T64" s="32" t="str">
        <f>_xlfn.IFNA(VLOOKUP($C64&amp;","&amp;T3,汇编指令!$C$2:$D$235,2,FALSE),"-1")</f>
        <v>-1</v>
      </c>
      <c r="U64" s="32" t="str">
        <f>_xlfn.IFNA(VLOOKUP($C64&amp;","&amp;U3,汇编指令!$C$2:$D$235,2,FALSE),"-1")</f>
        <v>-1</v>
      </c>
      <c r="V64" s="32" t="str">
        <f>_xlfn.IFNA(VLOOKUP($C64&amp;","&amp;V3,汇编指令!$C$2:$D$235,2,FALSE),"-1")</f>
        <v>-1</v>
      </c>
      <c r="W64" s="32" t="str">
        <f>_xlfn.IFNA(VLOOKUP($C64&amp;","&amp;W3,汇编指令!$C$2:$D$235,2,FALSE),"-1")</f>
        <v>-1</v>
      </c>
      <c r="X64" s="33" t="str">
        <f>_xlfn.IFNA(VLOOKUP($C64&amp;","&amp;X3,汇编指令!$C$2:$D$235,2,FALSE),"-1")</f>
        <v>DA</v>
      </c>
      <c r="Y64" s="32" t="str">
        <f>_xlfn.IFNA(VLOOKUP($C64&amp;","&amp;Y3,汇编指令!$C$2:$D$235,2,FALSE),"-1")</f>
        <v>-1</v>
      </c>
      <c r="Z64" s="32" t="str">
        <f>_xlfn.IFNA(VLOOKUP($C64&amp;","&amp;Z3,汇编指令!$C$2:$D$235,2,FALSE),"-1")</f>
        <v>-1</v>
      </c>
      <c r="AA64" s="32" t="str">
        <f>_xlfn.IFNA(VLOOKUP($C64&amp;","&amp;AA3,汇编指令!$C$2:$D$235,2,FALSE),"-1")</f>
        <v>-1</v>
      </c>
      <c r="AB64" s="53" t="str">
        <f>_xlfn.IFNA(VLOOKUP($C64&amp;","&amp;AB3,汇编指令!$C$2:$D$235,2,FALSE),"-1")</f>
        <v>-1</v>
      </c>
    </row>
    <row r="65" ht="20" customHeight="1" spans="1:28">
      <c r="A65" s="16">
        <v>2</v>
      </c>
      <c r="B65" s="21">
        <f t="shared" si="1"/>
        <v>61</v>
      </c>
      <c r="C65" s="24" t="s">
        <v>980</v>
      </c>
      <c r="D65" s="23" t="str">
        <f t="shared" si="2"/>
        <v>3D</v>
      </c>
      <c r="E65" s="34" t="str">
        <f>_xlfn.IFNA(VLOOKUP($C65&amp;","&amp;E3,汇编指令!$C$2:$D$235,2,FALSE),"-1")</f>
        <v>-1</v>
      </c>
      <c r="F65" s="32" t="str">
        <f>_xlfn.IFNA(VLOOKUP($C65&amp;","&amp;F3,汇编指令!$C$2:$D$235,2,FALSE),"-1")</f>
        <v>-1</v>
      </c>
      <c r="G65" s="32" t="str">
        <f>_xlfn.IFNA(VLOOKUP($C65&amp;","&amp;G3,汇编指令!$C$2:$D$235,2,FALSE),"-1")</f>
        <v>-1</v>
      </c>
      <c r="H65" s="32" t="str">
        <f>_xlfn.IFNA(VLOOKUP($C65&amp;","&amp;H3,汇编指令!$C$2:$D$235,2,FALSE),"-1")</f>
        <v>-1</v>
      </c>
      <c r="I65" s="32" t="str">
        <f>_xlfn.IFNA(VLOOKUP($C65&amp;","&amp;I3,汇编指令!$C$2:$D$235,2,FALSE),"-1")</f>
        <v>-1</v>
      </c>
      <c r="J65" s="32" t="str">
        <f>_xlfn.IFNA(VLOOKUP($C65&amp;","&amp;J3,汇编指令!$C$2:$D$235,2,FALSE),"-1")</f>
        <v>-1</v>
      </c>
      <c r="K65" s="32" t="str">
        <f>_xlfn.IFNA(VLOOKUP($C65&amp;","&amp;K3,汇编指令!$C$2:$D$235,2,FALSE),"-1")</f>
        <v>-1</v>
      </c>
      <c r="L65" s="32" t="str">
        <f>_xlfn.IFNA(VLOOKUP($C65&amp;","&amp;L3,汇编指令!$C$2:$D$235,2,FALSE),"-1")</f>
        <v>-1</v>
      </c>
      <c r="M65" s="32" t="str">
        <f>_xlfn.IFNA(VLOOKUP($C65&amp;","&amp;M3,汇编指令!$C$2:$D$235,2,FALSE),"-1")</f>
        <v>-1</v>
      </c>
      <c r="N65" s="32" t="str">
        <f>_xlfn.IFNA(VLOOKUP($C65&amp;","&amp;N3,汇编指令!$C$2:$D$235,2,FALSE),"-1")</f>
        <v>-1</v>
      </c>
      <c r="O65" s="32" t="str">
        <f>_xlfn.IFNA(VLOOKUP($C65&amp;","&amp;O3,汇编指令!$C$2:$D$235,2,FALSE),"-1")</f>
        <v>-1</v>
      </c>
      <c r="P65" s="32" t="str">
        <f>_xlfn.IFNA(VLOOKUP($C65&amp;","&amp;P3,汇编指令!$C$2:$D$235,2,FALSE),"-1")</f>
        <v>-1</v>
      </c>
      <c r="Q65" s="32" t="str">
        <f>_xlfn.IFNA(VLOOKUP($C65&amp;","&amp;Q3,汇编指令!$C$2:$D$235,2,FALSE),"-1")</f>
        <v>-1</v>
      </c>
      <c r="R65" s="32" t="str">
        <f>_xlfn.IFNA(VLOOKUP($C65&amp;","&amp;R3,汇编指令!$C$2:$D$235,2,FALSE),"-1")</f>
        <v>-1</v>
      </c>
      <c r="S65" s="32" t="str">
        <f>_xlfn.IFNA(VLOOKUP($C65&amp;","&amp;S3,汇编指令!$C$2:$D$235,2,FALSE),"-1")</f>
        <v>-1</v>
      </c>
      <c r="T65" s="32" t="str">
        <f>_xlfn.IFNA(VLOOKUP($C65&amp;","&amp;T3,汇编指令!$C$2:$D$235,2,FALSE),"-1")</f>
        <v>-1</v>
      </c>
      <c r="U65" s="32" t="str">
        <f>_xlfn.IFNA(VLOOKUP($C65&amp;","&amp;U3,汇编指令!$C$2:$D$235,2,FALSE),"-1")</f>
        <v>-1</v>
      </c>
      <c r="V65" s="32" t="str">
        <f>_xlfn.IFNA(VLOOKUP($C65&amp;","&amp;V3,汇编指令!$C$2:$D$235,2,FALSE),"-1")</f>
        <v>-1</v>
      </c>
      <c r="W65" s="32" t="str">
        <f>_xlfn.IFNA(VLOOKUP($C65&amp;","&amp;W3,汇编指令!$C$2:$D$235,2,FALSE),"-1")</f>
        <v>-1</v>
      </c>
      <c r="X65" s="33" t="str">
        <f>_xlfn.IFNA(VLOOKUP($C65&amp;","&amp;X3,汇编指令!$C$2:$D$235,2,FALSE),"-1")</f>
        <v>DB</v>
      </c>
      <c r="Y65" s="32" t="str">
        <f>_xlfn.IFNA(VLOOKUP($C65&amp;","&amp;Y3,汇编指令!$C$2:$D$235,2,FALSE),"-1")</f>
        <v>-1</v>
      </c>
      <c r="Z65" s="32" t="str">
        <f>_xlfn.IFNA(VLOOKUP($C65&amp;","&amp;Z3,汇编指令!$C$2:$D$235,2,FALSE),"-1")</f>
        <v>-1</v>
      </c>
      <c r="AA65" s="32" t="str">
        <f>_xlfn.IFNA(VLOOKUP($C65&amp;","&amp;AA3,汇编指令!$C$2:$D$235,2,FALSE),"-1")</f>
        <v>-1</v>
      </c>
      <c r="AB65" s="53" t="str">
        <f>_xlfn.IFNA(VLOOKUP($C65&amp;","&amp;AB3,汇编指令!$C$2:$D$235,2,FALSE),"-1")</f>
        <v>-1</v>
      </c>
    </row>
    <row r="66" ht="20" customHeight="1" spans="1:28">
      <c r="A66" s="16">
        <v>2</v>
      </c>
      <c r="B66" s="21">
        <f t="shared" si="1"/>
        <v>62</v>
      </c>
      <c r="C66" s="24" t="s">
        <v>981</v>
      </c>
      <c r="D66" s="23" t="str">
        <f t="shared" si="2"/>
        <v>3E</v>
      </c>
      <c r="E66" s="34" t="str">
        <f>_xlfn.IFNA(VLOOKUP($C66&amp;","&amp;E3,汇编指令!$C$2:$D$235,2,FALSE),"-1")</f>
        <v>-1</v>
      </c>
      <c r="F66" s="32" t="str">
        <f>_xlfn.IFNA(VLOOKUP($C66&amp;","&amp;F3,汇编指令!$C$2:$D$235,2,FALSE),"-1")</f>
        <v>-1</v>
      </c>
      <c r="G66" s="32" t="str">
        <f>_xlfn.IFNA(VLOOKUP($C66&amp;","&amp;G3,汇编指令!$C$2:$D$235,2,FALSE),"-1")</f>
        <v>-1</v>
      </c>
      <c r="H66" s="32" t="str">
        <f>_xlfn.IFNA(VLOOKUP($C66&amp;","&amp;H3,汇编指令!$C$2:$D$235,2,FALSE),"-1")</f>
        <v>-1</v>
      </c>
      <c r="I66" s="32" t="str">
        <f>_xlfn.IFNA(VLOOKUP($C66&amp;","&amp;I3,汇编指令!$C$2:$D$235,2,FALSE),"-1")</f>
        <v>-1</v>
      </c>
      <c r="J66" s="32" t="str">
        <f>_xlfn.IFNA(VLOOKUP($C66&amp;","&amp;J3,汇编指令!$C$2:$D$235,2,FALSE),"-1")</f>
        <v>-1</v>
      </c>
      <c r="K66" s="32" t="str">
        <f>_xlfn.IFNA(VLOOKUP($C66&amp;","&amp;K3,汇编指令!$C$2:$D$235,2,FALSE),"-1")</f>
        <v>-1</v>
      </c>
      <c r="L66" s="32" t="str">
        <f>_xlfn.IFNA(VLOOKUP($C66&amp;","&amp;L3,汇编指令!$C$2:$D$235,2,FALSE),"-1")</f>
        <v>-1</v>
      </c>
      <c r="M66" s="32" t="str">
        <f>_xlfn.IFNA(VLOOKUP($C66&amp;","&amp;M3,汇编指令!$C$2:$D$235,2,FALSE),"-1")</f>
        <v>-1</v>
      </c>
      <c r="N66" s="32" t="str">
        <f>_xlfn.IFNA(VLOOKUP($C66&amp;","&amp;N3,汇编指令!$C$2:$D$235,2,FALSE),"-1")</f>
        <v>-1</v>
      </c>
      <c r="O66" s="32" t="str">
        <f>_xlfn.IFNA(VLOOKUP($C66&amp;","&amp;O3,汇编指令!$C$2:$D$235,2,FALSE),"-1")</f>
        <v>-1</v>
      </c>
      <c r="P66" s="32" t="str">
        <f>_xlfn.IFNA(VLOOKUP($C66&amp;","&amp;P3,汇编指令!$C$2:$D$235,2,FALSE),"-1")</f>
        <v>-1</v>
      </c>
      <c r="Q66" s="32" t="str">
        <f>_xlfn.IFNA(VLOOKUP($C66&amp;","&amp;Q3,汇编指令!$C$2:$D$235,2,FALSE),"-1")</f>
        <v>-1</v>
      </c>
      <c r="R66" s="32" t="str">
        <f>_xlfn.IFNA(VLOOKUP($C66&amp;","&amp;R3,汇编指令!$C$2:$D$235,2,FALSE),"-1")</f>
        <v>-1</v>
      </c>
      <c r="S66" s="32" t="str">
        <f>_xlfn.IFNA(VLOOKUP($C66&amp;","&amp;S3,汇编指令!$C$2:$D$235,2,FALSE),"-1")</f>
        <v>-1</v>
      </c>
      <c r="T66" s="32" t="str">
        <f>_xlfn.IFNA(VLOOKUP($C66&amp;","&amp;T3,汇编指令!$C$2:$D$235,2,FALSE),"-1")</f>
        <v>-1</v>
      </c>
      <c r="U66" s="32" t="str">
        <f>_xlfn.IFNA(VLOOKUP($C66&amp;","&amp;U3,汇编指令!$C$2:$D$235,2,FALSE),"-1")</f>
        <v>-1</v>
      </c>
      <c r="V66" s="32" t="str">
        <f>_xlfn.IFNA(VLOOKUP($C66&amp;","&amp;V3,汇编指令!$C$2:$D$235,2,FALSE),"-1")</f>
        <v>-1</v>
      </c>
      <c r="W66" s="32" t="str">
        <f>_xlfn.IFNA(VLOOKUP($C66&amp;","&amp;W3,汇编指令!$C$2:$D$235,2,FALSE),"-1")</f>
        <v>-1</v>
      </c>
      <c r="X66" s="33" t="str">
        <f>_xlfn.IFNA(VLOOKUP($C66&amp;","&amp;X3,汇编指令!$C$2:$D$235,2,FALSE),"-1")</f>
        <v>DC</v>
      </c>
      <c r="Y66" s="32" t="str">
        <f>_xlfn.IFNA(VLOOKUP($C66&amp;","&amp;Y3,汇编指令!$C$2:$D$235,2,FALSE),"-1")</f>
        <v>-1</v>
      </c>
      <c r="Z66" s="32" t="str">
        <f>_xlfn.IFNA(VLOOKUP($C66&amp;","&amp;Z3,汇编指令!$C$2:$D$235,2,FALSE),"-1")</f>
        <v>-1</v>
      </c>
      <c r="AA66" s="32" t="str">
        <f>_xlfn.IFNA(VLOOKUP($C66&amp;","&amp;AA3,汇编指令!$C$2:$D$235,2,FALSE),"-1")</f>
        <v>-1</v>
      </c>
      <c r="AB66" s="53" t="str">
        <f>_xlfn.IFNA(VLOOKUP($C66&amp;","&amp;AB3,汇编指令!$C$2:$D$235,2,FALSE),"-1")</f>
        <v>-1</v>
      </c>
    </row>
    <row r="67" ht="20" customHeight="1" spans="1:28">
      <c r="A67" s="16">
        <v>2</v>
      </c>
      <c r="B67" s="21">
        <f t="shared" si="1"/>
        <v>63</v>
      </c>
      <c r="C67" s="24" t="s">
        <v>982</v>
      </c>
      <c r="D67" s="23" t="str">
        <f t="shared" si="2"/>
        <v>3F</v>
      </c>
      <c r="E67" s="34" t="str">
        <f>_xlfn.IFNA(VLOOKUP($C67&amp;","&amp;E3,汇编指令!$C$2:$D$235,2,FALSE),"-1")</f>
        <v>-1</v>
      </c>
      <c r="F67" s="32" t="str">
        <f>_xlfn.IFNA(VLOOKUP($C67&amp;","&amp;F3,汇编指令!$C$2:$D$235,2,FALSE),"-1")</f>
        <v>-1</v>
      </c>
      <c r="G67" s="32" t="str">
        <f>_xlfn.IFNA(VLOOKUP($C67&amp;","&amp;G3,汇编指令!$C$2:$D$235,2,FALSE),"-1")</f>
        <v>-1</v>
      </c>
      <c r="H67" s="32" t="str">
        <f>_xlfn.IFNA(VLOOKUP($C67&amp;","&amp;H3,汇编指令!$C$2:$D$235,2,FALSE),"-1")</f>
        <v>-1</v>
      </c>
      <c r="I67" s="32" t="str">
        <f>_xlfn.IFNA(VLOOKUP($C67&amp;","&amp;I3,汇编指令!$C$2:$D$235,2,FALSE),"-1")</f>
        <v>-1</v>
      </c>
      <c r="J67" s="32" t="str">
        <f>_xlfn.IFNA(VLOOKUP($C67&amp;","&amp;J3,汇编指令!$C$2:$D$235,2,FALSE),"-1")</f>
        <v>-1</v>
      </c>
      <c r="K67" s="32" t="str">
        <f>_xlfn.IFNA(VLOOKUP($C67&amp;","&amp;K3,汇编指令!$C$2:$D$235,2,FALSE),"-1")</f>
        <v>-1</v>
      </c>
      <c r="L67" s="32" t="str">
        <f>_xlfn.IFNA(VLOOKUP($C67&amp;","&amp;L3,汇编指令!$C$2:$D$235,2,FALSE),"-1")</f>
        <v>-1</v>
      </c>
      <c r="M67" s="32" t="str">
        <f>_xlfn.IFNA(VLOOKUP($C67&amp;","&amp;M3,汇编指令!$C$2:$D$235,2,FALSE),"-1")</f>
        <v>-1</v>
      </c>
      <c r="N67" s="32" t="str">
        <f>_xlfn.IFNA(VLOOKUP($C67&amp;","&amp;N3,汇编指令!$C$2:$D$235,2,FALSE),"-1")</f>
        <v>-1</v>
      </c>
      <c r="O67" s="32" t="str">
        <f>_xlfn.IFNA(VLOOKUP($C67&amp;","&amp;O3,汇编指令!$C$2:$D$235,2,FALSE),"-1")</f>
        <v>-1</v>
      </c>
      <c r="P67" s="32" t="str">
        <f>_xlfn.IFNA(VLOOKUP($C67&amp;","&amp;P3,汇编指令!$C$2:$D$235,2,FALSE),"-1")</f>
        <v>-1</v>
      </c>
      <c r="Q67" s="32" t="str">
        <f>_xlfn.IFNA(VLOOKUP($C67&amp;","&amp;Q3,汇编指令!$C$2:$D$235,2,FALSE),"-1")</f>
        <v>-1</v>
      </c>
      <c r="R67" s="32" t="str">
        <f>_xlfn.IFNA(VLOOKUP($C67&amp;","&amp;R3,汇编指令!$C$2:$D$235,2,FALSE),"-1")</f>
        <v>-1</v>
      </c>
      <c r="S67" s="32" t="str">
        <f>_xlfn.IFNA(VLOOKUP($C67&amp;","&amp;S3,汇编指令!$C$2:$D$235,2,FALSE),"-1")</f>
        <v>-1</v>
      </c>
      <c r="T67" s="32" t="str">
        <f>_xlfn.IFNA(VLOOKUP($C67&amp;","&amp;T3,汇编指令!$C$2:$D$235,2,FALSE),"-1")</f>
        <v>-1</v>
      </c>
      <c r="U67" s="32" t="str">
        <f>_xlfn.IFNA(VLOOKUP($C67&amp;","&amp;U3,汇编指令!$C$2:$D$235,2,FALSE),"-1")</f>
        <v>-1</v>
      </c>
      <c r="V67" s="32" t="str">
        <f>_xlfn.IFNA(VLOOKUP($C67&amp;","&amp;V3,汇编指令!$C$2:$D$235,2,FALSE),"-1")</f>
        <v>-1</v>
      </c>
      <c r="W67" s="32" t="str">
        <f>_xlfn.IFNA(VLOOKUP($C67&amp;","&amp;W3,汇编指令!$C$2:$D$235,2,FALSE),"-1")</f>
        <v>-1</v>
      </c>
      <c r="X67" s="33" t="str">
        <f>_xlfn.IFNA(VLOOKUP($C67&amp;","&amp;X3,汇编指令!$C$2:$D$235,2,FALSE),"-1")</f>
        <v>DD</v>
      </c>
      <c r="Y67" s="32" t="str">
        <f>_xlfn.IFNA(VLOOKUP($C67&amp;","&amp;Y3,汇编指令!$C$2:$D$235,2,FALSE),"-1")</f>
        <v>-1</v>
      </c>
      <c r="Z67" s="32" t="str">
        <f>_xlfn.IFNA(VLOOKUP($C67&amp;","&amp;Z3,汇编指令!$C$2:$D$235,2,FALSE),"-1")</f>
        <v>-1</v>
      </c>
      <c r="AA67" s="32" t="str">
        <f>_xlfn.IFNA(VLOOKUP($C67&amp;","&amp;AA3,汇编指令!$C$2:$D$235,2,FALSE),"-1")</f>
        <v>-1</v>
      </c>
      <c r="AB67" s="53" t="str">
        <f>_xlfn.IFNA(VLOOKUP($C67&amp;","&amp;AB3,汇编指令!$C$2:$D$235,2,FALSE),"-1")</f>
        <v>-1</v>
      </c>
    </row>
    <row r="68" ht="20" customHeight="1" spans="1:28">
      <c r="A68" s="16">
        <v>2</v>
      </c>
      <c r="B68" s="21">
        <f t="shared" ref="B68:B112" si="3">ROW()-4</f>
        <v>64</v>
      </c>
      <c r="C68" s="24" t="s">
        <v>983</v>
      </c>
      <c r="D68" s="23" t="str">
        <f t="shared" ref="D68:D112" si="4">DEC2HEX(B68)</f>
        <v>40</v>
      </c>
      <c r="E68" s="34" t="str">
        <f>_xlfn.IFNA(VLOOKUP($C68&amp;","&amp;E3,汇编指令!$C$2:$D$235,2,FALSE),"-1")</f>
        <v>-1</v>
      </c>
      <c r="F68" s="32" t="str">
        <f>_xlfn.IFNA(VLOOKUP($C68&amp;","&amp;F3,汇编指令!$C$2:$D$235,2,FALSE),"-1")</f>
        <v>-1</v>
      </c>
      <c r="G68" s="32" t="str">
        <f>_xlfn.IFNA(VLOOKUP($C68&amp;","&amp;G3,汇编指令!$C$2:$D$235,2,FALSE),"-1")</f>
        <v>-1</v>
      </c>
      <c r="H68" s="32" t="str">
        <f>_xlfn.IFNA(VLOOKUP($C68&amp;","&amp;H3,汇编指令!$C$2:$D$235,2,FALSE),"-1")</f>
        <v>-1</v>
      </c>
      <c r="I68" s="32" t="str">
        <f>_xlfn.IFNA(VLOOKUP($C68&amp;","&amp;I3,汇编指令!$C$2:$D$235,2,FALSE),"-1")</f>
        <v>-1</v>
      </c>
      <c r="J68" s="32" t="str">
        <f>_xlfn.IFNA(VLOOKUP($C68&amp;","&amp;J3,汇编指令!$C$2:$D$235,2,FALSE),"-1")</f>
        <v>-1</v>
      </c>
      <c r="K68" s="32" t="str">
        <f>_xlfn.IFNA(VLOOKUP($C68&amp;","&amp;K3,汇编指令!$C$2:$D$235,2,FALSE),"-1")</f>
        <v>-1</v>
      </c>
      <c r="L68" s="32" t="str">
        <f>_xlfn.IFNA(VLOOKUP($C68&amp;","&amp;L3,汇编指令!$C$2:$D$235,2,FALSE),"-1")</f>
        <v>-1</v>
      </c>
      <c r="M68" s="32" t="str">
        <f>_xlfn.IFNA(VLOOKUP($C68&amp;","&amp;M3,汇编指令!$C$2:$D$235,2,FALSE),"-1")</f>
        <v>-1</v>
      </c>
      <c r="N68" s="32" t="str">
        <f>_xlfn.IFNA(VLOOKUP($C68&amp;","&amp;N3,汇编指令!$C$2:$D$235,2,FALSE),"-1")</f>
        <v>-1</v>
      </c>
      <c r="O68" s="32" t="str">
        <f>_xlfn.IFNA(VLOOKUP($C68&amp;","&amp;O3,汇编指令!$C$2:$D$235,2,FALSE),"-1")</f>
        <v>-1</v>
      </c>
      <c r="P68" s="32" t="str">
        <f>_xlfn.IFNA(VLOOKUP($C68&amp;","&amp;P3,汇编指令!$C$2:$D$235,2,FALSE),"-1")</f>
        <v>-1</v>
      </c>
      <c r="Q68" s="32" t="str">
        <f>_xlfn.IFNA(VLOOKUP($C68&amp;","&amp;Q3,汇编指令!$C$2:$D$235,2,FALSE),"-1")</f>
        <v>-1</v>
      </c>
      <c r="R68" s="32" t="str">
        <f>_xlfn.IFNA(VLOOKUP($C68&amp;","&amp;R3,汇编指令!$C$2:$D$235,2,FALSE),"-1")</f>
        <v>-1</v>
      </c>
      <c r="S68" s="32" t="str">
        <f>_xlfn.IFNA(VLOOKUP($C68&amp;","&amp;S3,汇编指令!$C$2:$D$235,2,FALSE),"-1")</f>
        <v>-1</v>
      </c>
      <c r="T68" s="32" t="str">
        <f>_xlfn.IFNA(VLOOKUP($C68&amp;","&amp;T3,汇编指令!$C$2:$D$235,2,FALSE),"-1")</f>
        <v>-1</v>
      </c>
      <c r="U68" s="32" t="str">
        <f>_xlfn.IFNA(VLOOKUP($C68&amp;","&amp;U3,汇编指令!$C$2:$D$235,2,FALSE),"-1")</f>
        <v>-1</v>
      </c>
      <c r="V68" s="32" t="str">
        <f>_xlfn.IFNA(VLOOKUP($C68&amp;","&amp;V3,汇编指令!$C$2:$D$235,2,FALSE),"-1")</f>
        <v>-1</v>
      </c>
      <c r="W68" s="32" t="str">
        <f>_xlfn.IFNA(VLOOKUP($C68&amp;","&amp;W3,汇编指令!$C$2:$D$235,2,FALSE),"-1")</f>
        <v>-1</v>
      </c>
      <c r="X68" s="33" t="str">
        <f>_xlfn.IFNA(VLOOKUP($C68&amp;","&amp;X3,汇编指令!$C$2:$D$235,2,FALSE),"-1")</f>
        <v>DE</v>
      </c>
      <c r="Y68" s="32" t="str">
        <f>_xlfn.IFNA(VLOOKUP($C68&amp;","&amp;Y3,汇编指令!$C$2:$D$235,2,FALSE),"-1")</f>
        <v>-1</v>
      </c>
      <c r="Z68" s="32" t="str">
        <f>_xlfn.IFNA(VLOOKUP($C68&amp;","&amp;Z3,汇编指令!$C$2:$D$235,2,FALSE),"-1")</f>
        <v>-1</v>
      </c>
      <c r="AA68" s="32" t="str">
        <f>_xlfn.IFNA(VLOOKUP($C68&amp;","&amp;AA3,汇编指令!$C$2:$D$235,2,FALSE),"-1")</f>
        <v>-1</v>
      </c>
      <c r="AB68" s="53" t="str">
        <f>_xlfn.IFNA(VLOOKUP($C68&amp;","&amp;AB3,汇编指令!$C$2:$D$235,2,FALSE),"-1")</f>
        <v>-1</v>
      </c>
    </row>
    <row r="69" ht="20" customHeight="1" spans="1:28">
      <c r="A69" s="16">
        <v>2</v>
      </c>
      <c r="B69" s="21">
        <f t="shared" si="3"/>
        <v>65</v>
      </c>
      <c r="C69" s="24" t="s">
        <v>984</v>
      </c>
      <c r="D69" s="23" t="str">
        <f t="shared" si="4"/>
        <v>41</v>
      </c>
      <c r="E69" s="34" t="str">
        <f>_xlfn.IFNA(VLOOKUP($C69&amp;","&amp;E3,汇编指令!$C$2:$D$235,2,FALSE),"-1")</f>
        <v>-1</v>
      </c>
      <c r="F69" s="32" t="str">
        <f>_xlfn.IFNA(VLOOKUP($C69&amp;","&amp;F3,汇编指令!$C$2:$D$235,2,FALSE),"-1")</f>
        <v>-1</v>
      </c>
      <c r="G69" s="32" t="str">
        <f>_xlfn.IFNA(VLOOKUP($C69&amp;","&amp;G3,汇编指令!$C$2:$D$235,2,FALSE),"-1")</f>
        <v>-1</v>
      </c>
      <c r="H69" s="32" t="str">
        <f>_xlfn.IFNA(VLOOKUP($C69&amp;","&amp;H3,汇编指令!$C$2:$D$235,2,FALSE),"-1")</f>
        <v>-1</v>
      </c>
      <c r="I69" s="32" t="str">
        <f>_xlfn.IFNA(VLOOKUP($C69&amp;","&amp;I3,汇编指令!$C$2:$D$235,2,FALSE),"-1")</f>
        <v>-1</v>
      </c>
      <c r="J69" s="32" t="str">
        <f>_xlfn.IFNA(VLOOKUP($C69&amp;","&amp;J3,汇编指令!$C$2:$D$235,2,FALSE),"-1")</f>
        <v>-1</v>
      </c>
      <c r="K69" s="32" t="str">
        <f>_xlfn.IFNA(VLOOKUP($C69&amp;","&amp;K3,汇编指令!$C$2:$D$235,2,FALSE),"-1")</f>
        <v>-1</v>
      </c>
      <c r="L69" s="32" t="str">
        <f>_xlfn.IFNA(VLOOKUP($C69&amp;","&amp;L3,汇编指令!$C$2:$D$235,2,FALSE),"-1")</f>
        <v>-1</v>
      </c>
      <c r="M69" s="32" t="str">
        <f>_xlfn.IFNA(VLOOKUP($C69&amp;","&amp;M3,汇编指令!$C$2:$D$235,2,FALSE),"-1")</f>
        <v>-1</v>
      </c>
      <c r="N69" s="32" t="str">
        <f>_xlfn.IFNA(VLOOKUP($C69&amp;","&amp;N3,汇编指令!$C$2:$D$235,2,FALSE),"-1")</f>
        <v>-1</v>
      </c>
      <c r="O69" s="32" t="str">
        <f>_xlfn.IFNA(VLOOKUP($C69&amp;","&amp;O3,汇编指令!$C$2:$D$235,2,FALSE),"-1")</f>
        <v>-1</v>
      </c>
      <c r="P69" s="32" t="str">
        <f>_xlfn.IFNA(VLOOKUP($C69&amp;","&amp;P3,汇编指令!$C$2:$D$235,2,FALSE),"-1")</f>
        <v>-1</v>
      </c>
      <c r="Q69" s="32" t="str">
        <f>_xlfn.IFNA(VLOOKUP($C69&amp;","&amp;Q3,汇编指令!$C$2:$D$235,2,FALSE),"-1")</f>
        <v>-1</v>
      </c>
      <c r="R69" s="32" t="str">
        <f>_xlfn.IFNA(VLOOKUP($C69&amp;","&amp;R3,汇编指令!$C$2:$D$235,2,FALSE),"-1")</f>
        <v>-1</v>
      </c>
      <c r="S69" s="32" t="str">
        <f>_xlfn.IFNA(VLOOKUP($C69&amp;","&amp;S3,汇编指令!$C$2:$D$235,2,FALSE),"-1")</f>
        <v>-1</v>
      </c>
      <c r="T69" s="32" t="str">
        <f>_xlfn.IFNA(VLOOKUP($C69&amp;","&amp;T3,汇编指令!$C$2:$D$235,2,FALSE),"-1")</f>
        <v>-1</v>
      </c>
      <c r="U69" s="32" t="str">
        <f>_xlfn.IFNA(VLOOKUP($C69&amp;","&amp;U3,汇编指令!$C$2:$D$235,2,FALSE),"-1")</f>
        <v>-1</v>
      </c>
      <c r="V69" s="32" t="str">
        <f>_xlfn.IFNA(VLOOKUP($C69&amp;","&amp;V3,汇编指令!$C$2:$D$235,2,FALSE),"-1")</f>
        <v>-1</v>
      </c>
      <c r="W69" s="32" t="str">
        <f>_xlfn.IFNA(VLOOKUP($C69&amp;","&amp;W3,汇编指令!$C$2:$D$235,2,FALSE),"-1")</f>
        <v>-1</v>
      </c>
      <c r="X69" s="33" t="str">
        <f>_xlfn.IFNA(VLOOKUP($C69&amp;","&amp;X3,汇编指令!$C$2:$D$235,2,FALSE),"-1")</f>
        <v>DF</v>
      </c>
      <c r="Y69" s="32" t="str">
        <f>_xlfn.IFNA(VLOOKUP($C69&amp;","&amp;Y3,汇编指令!$C$2:$D$235,2,FALSE),"-1")</f>
        <v>-1</v>
      </c>
      <c r="Z69" s="32" t="str">
        <f>_xlfn.IFNA(VLOOKUP($C69&amp;","&amp;Z3,汇编指令!$C$2:$D$235,2,FALSE),"-1")</f>
        <v>-1</v>
      </c>
      <c r="AA69" s="32" t="str">
        <f>_xlfn.IFNA(VLOOKUP($C69&amp;","&amp;AA3,汇编指令!$C$2:$D$235,2,FALSE),"-1")</f>
        <v>-1</v>
      </c>
      <c r="AB69" s="53" t="str">
        <f>_xlfn.IFNA(VLOOKUP($C69&amp;","&amp;AB3,汇编指令!$C$2:$D$235,2,FALSE),"-1")</f>
        <v>-1</v>
      </c>
    </row>
    <row r="70" ht="20" customHeight="1" spans="1:28">
      <c r="A70" s="16">
        <v>2</v>
      </c>
      <c r="B70" s="21">
        <f t="shared" si="3"/>
        <v>66</v>
      </c>
      <c r="C70" s="24" t="s">
        <v>985</v>
      </c>
      <c r="D70" s="23" t="str">
        <f t="shared" si="4"/>
        <v>42</v>
      </c>
      <c r="E70" s="34" t="str">
        <f>_xlfn.IFNA(VLOOKUP($C70&amp;","&amp;E3,汇编指令!$C$2:$D$235,2,FALSE),"-1")</f>
        <v>-1</v>
      </c>
      <c r="F70" s="32" t="str">
        <f>_xlfn.IFNA(VLOOKUP($C70&amp;","&amp;F3,汇编指令!$C$2:$D$235,2,FALSE),"-1")</f>
        <v>-1</v>
      </c>
      <c r="G70" s="32" t="str">
        <f>_xlfn.IFNA(VLOOKUP($C70&amp;","&amp;G3,汇编指令!$C$2:$D$235,2,FALSE),"-1")</f>
        <v>-1</v>
      </c>
      <c r="H70" s="32" t="str">
        <f>_xlfn.IFNA(VLOOKUP($C70&amp;","&amp;H3,汇编指令!$C$2:$D$235,2,FALSE),"-1")</f>
        <v>-1</v>
      </c>
      <c r="I70" s="32" t="str">
        <f>_xlfn.IFNA(VLOOKUP($C70&amp;","&amp;I3,汇编指令!$C$2:$D$235,2,FALSE),"-1")</f>
        <v>-1</v>
      </c>
      <c r="J70" s="32" t="str">
        <f>_xlfn.IFNA(VLOOKUP($C70&amp;","&amp;J3,汇编指令!$C$2:$D$235,2,FALSE),"-1")</f>
        <v>-1</v>
      </c>
      <c r="K70" s="32" t="str">
        <f>_xlfn.IFNA(VLOOKUP($C70&amp;","&amp;K3,汇编指令!$C$2:$D$235,2,FALSE),"-1")</f>
        <v>-1</v>
      </c>
      <c r="L70" s="32" t="str">
        <f>_xlfn.IFNA(VLOOKUP($C70&amp;","&amp;L3,汇编指令!$C$2:$D$235,2,FALSE),"-1")</f>
        <v>-1</v>
      </c>
      <c r="M70" s="32" t="str">
        <f>_xlfn.IFNA(VLOOKUP($C70&amp;","&amp;M3,汇编指令!$C$2:$D$235,2,FALSE),"-1")</f>
        <v>-1</v>
      </c>
      <c r="N70" s="32" t="str">
        <f>_xlfn.IFNA(VLOOKUP($C70&amp;","&amp;N3,汇编指令!$C$2:$D$235,2,FALSE),"-1")</f>
        <v>-1</v>
      </c>
      <c r="O70" s="32" t="str">
        <f>_xlfn.IFNA(VLOOKUP($C70&amp;","&amp;O3,汇编指令!$C$2:$D$235,2,FALSE),"-1")</f>
        <v>-1</v>
      </c>
      <c r="P70" s="32" t="str">
        <f>_xlfn.IFNA(VLOOKUP($C70&amp;","&amp;P3,汇编指令!$C$2:$D$235,2,FALSE),"-1")</f>
        <v>-1</v>
      </c>
      <c r="Q70" s="32" t="str">
        <f>_xlfn.IFNA(VLOOKUP($C70&amp;","&amp;Q3,汇编指令!$C$2:$D$235,2,FALSE),"-1")</f>
        <v>-1</v>
      </c>
      <c r="R70" s="32" t="str">
        <f>_xlfn.IFNA(VLOOKUP($C70&amp;","&amp;R3,汇编指令!$C$2:$D$235,2,FALSE),"-1")</f>
        <v>-1</v>
      </c>
      <c r="S70" s="32" t="str">
        <f>_xlfn.IFNA(VLOOKUP($C70&amp;","&amp;S3,汇编指令!$C$2:$D$235,2,FALSE),"-1")</f>
        <v>-1</v>
      </c>
      <c r="T70" s="32" t="str">
        <f>_xlfn.IFNA(VLOOKUP($C70&amp;","&amp;T3,汇编指令!$C$2:$D$235,2,FALSE),"-1")</f>
        <v>-1</v>
      </c>
      <c r="U70" s="32" t="str">
        <f>_xlfn.IFNA(VLOOKUP($C70&amp;","&amp;U3,汇编指令!$C$2:$D$235,2,FALSE),"-1")</f>
        <v>-1</v>
      </c>
      <c r="V70" s="32" t="str">
        <f>_xlfn.IFNA(VLOOKUP($C70&amp;","&amp;V3,汇编指令!$C$2:$D$235,2,FALSE),"-1")</f>
        <v>-1</v>
      </c>
      <c r="W70" s="32" t="str">
        <f>_xlfn.IFNA(VLOOKUP($C70&amp;","&amp;W3,汇编指令!$C$2:$D$235,2,FALSE),"-1")</f>
        <v>-1</v>
      </c>
      <c r="X70" s="33" t="str">
        <f>_xlfn.IFNA(VLOOKUP($C70&amp;","&amp;X3,汇编指令!$C$2:$D$235,2,FALSE),"-1")</f>
        <v>20</v>
      </c>
      <c r="Y70" s="32" t="str">
        <f>_xlfn.IFNA(VLOOKUP($C70&amp;","&amp;Y3,汇编指令!$C$2:$D$235,2,FALSE),"-1")</f>
        <v>-1</v>
      </c>
      <c r="Z70" s="32" t="str">
        <f>_xlfn.IFNA(VLOOKUP($C70&amp;","&amp;Z3,汇编指令!$C$2:$D$235,2,FALSE),"-1")</f>
        <v>-1</v>
      </c>
      <c r="AA70" s="32" t="str">
        <f>_xlfn.IFNA(VLOOKUP($C70&amp;","&amp;AA3,汇编指令!$C$2:$D$235,2,FALSE),"-1")</f>
        <v>-1</v>
      </c>
      <c r="AB70" s="53" t="str">
        <f>_xlfn.IFNA(VLOOKUP($C70&amp;","&amp;AB3,汇编指令!$C$2:$D$235,2,FALSE),"-1")</f>
        <v>-1</v>
      </c>
    </row>
    <row r="71" ht="20" customHeight="1" spans="1:28">
      <c r="A71" s="16">
        <v>2</v>
      </c>
      <c r="B71" s="21">
        <f t="shared" si="3"/>
        <v>67</v>
      </c>
      <c r="C71" s="24" t="s">
        <v>986</v>
      </c>
      <c r="D71" s="23" t="str">
        <f t="shared" si="4"/>
        <v>43</v>
      </c>
      <c r="E71" s="34" t="str">
        <f>_xlfn.IFNA(VLOOKUP($C71&amp;","&amp;E3,汇编指令!$C$2:$D$235,2,FALSE),"-1")</f>
        <v>-1</v>
      </c>
      <c r="F71" s="32" t="str">
        <f>_xlfn.IFNA(VLOOKUP($C71&amp;","&amp;F3,汇编指令!$C$2:$D$235,2,FALSE),"-1")</f>
        <v>-1</v>
      </c>
      <c r="G71" s="32" t="str">
        <f>_xlfn.IFNA(VLOOKUP($C71&amp;","&amp;G3,汇编指令!$C$2:$D$235,2,FALSE),"-1")</f>
        <v>-1</v>
      </c>
      <c r="H71" s="32" t="str">
        <f>_xlfn.IFNA(VLOOKUP($C71&amp;","&amp;H3,汇编指令!$C$2:$D$235,2,FALSE),"-1")</f>
        <v>-1</v>
      </c>
      <c r="I71" s="32" t="str">
        <f>_xlfn.IFNA(VLOOKUP($C71&amp;","&amp;I3,汇编指令!$C$2:$D$235,2,FALSE),"-1")</f>
        <v>-1</v>
      </c>
      <c r="J71" s="32" t="str">
        <f>_xlfn.IFNA(VLOOKUP($C71&amp;","&amp;J3,汇编指令!$C$2:$D$235,2,FALSE),"-1")</f>
        <v>-1</v>
      </c>
      <c r="K71" s="32" t="str">
        <f>_xlfn.IFNA(VLOOKUP($C71&amp;","&amp;K3,汇编指令!$C$2:$D$235,2,FALSE),"-1")</f>
        <v>-1</v>
      </c>
      <c r="L71" s="32" t="str">
        <f>_xlfn.IFNA(VLOOKUP($C71&amp;","&amp;L3,汇编指令!$C$2:$D$235,2,FALSE),"-1")</f>
        <v>-1</v>
      </c>
      <c r="M71" s="32" t="str">
        <f>_xlfn.IFNA(VLOOKUP($C71&amp;","&amp;M3,汇编指令!$C$2:$D$235,2,FALSE),"-1")</f>
        <v>-1</v>
      </c>
      <c r="N71" s="32" t="str">
        <f>_xlfn.IFNA(VLOOKUP($C71&amp;","&amp;N3,汇编指令!$C$2:$D$235,2,FALSE),"-1")</f>
        <v>-1</v>
      </c>
      <c r="O71" s="32" t="str">
        <f>_xlfn.IFNA(VLOOKUP($C71&amp;","&amp;O3,汇编指令!$C$2:$D$235,2,FALSE),"-1")</f>
        <v>-1</v>
      </c>
      <c r="P71" s="32" t="str">
        <f>_xlfn.IFNA(VLOOKUP($C71&amp;","&amp;P3,汇编指令!$C$2:$D$235,2,FALSE),"-1")</f>
        <v>-1</v>
      </c>
      <c r="Q71" s="32" t="str">
        <f>_xlfn.IFNA(VLOOKUP($C71&amp;","&amp;Q3,汇编指令!$C$2:$D$235,2,FALSE),"-1")</f>
        <v>-1</v>
      </c>
      <c r="R71" s="32" t="str">
        <f>_xlfn.IFNA(VLOOKUP($C71&amp;","&amp;R3,汇编指令!$C$2:$D$235,2,FALSE),"-1")</f>
        <v>-1</v>
      </c>
      <c r="S71" s="32" t="str">
        <f>_xlfn.IFNA(VLOOKUP($C71&amp;","&amp;S3,汇编指令!$C$2:$D$235,2,FALSE),"-1")</f>
        <v>-1</v>
      </c>
      <c r="T71" s="32" t="str">
        <f>_xlfn.IFNA(VLOOKUP($C71&amp;","&amp;T3,汇编指令!$C$2:$D$235,2,FALSE),"-1")</f>
        <v>-1</v>
      </c>
      <c r="U71" s="32" t="str">
        <f>_xlfn.IFNA(VLOOKUP($C71&amp;","&amp;U3,汇编指令!$C$2:$D$235,2,FALSE),"-1")</f>
        <v>-1</v>
      </c>
      <c r="V71" s="32" t="str">
        <f>_xlfn.IFNA(VLOOKUP($C71&amp;","&amp;V3,汇编指令!$C$2:$D$235,2,FALSE),"-1")</f>
        <v>-1</v>
      </c>
      <c r="W71" s="32" t="str">
        <f>_xlfn.IFNA(VLOOKUP($C71&amp;","&amp;W3,汇编指令!$C$2:$D$235,2,FALSE),"-1")</f>
        <v>-1</v>
      </c>
      <c r="X71" s="33" t="str">
        <f>_xlfn.IFNA(VLOOKUP($C71&amp;","&amp;X3,汇编指令!$C$2:$D$235,2,FALSE),"-1")</f>
        <v>10</v>
      </c>
      <c r="Y71" s="32" t="str">
        <f>_xlfn.IFNA(VLOOKUP($C71&amp;","&amp;Y3,汇编指令!$C$2:$D$235,2,FALSE),"-1")</f>
        <v>-1</v>
      </c>
      <c r="Z71" s="32" t="str">
        <f>_xlfn.IFNA(VLOOKUP($C71&amp;","&amp;Z3,汇编指令!$C$2:$D$235,2,FALSE),"-1")</f>
        <v>-1</v>
      </c>
      <c r="AA71" s="32" t="str">
        <f>_xlfn.IFNA(VLOOKUP($C71&amp;","&amp;AA3,汇编指令!$C$2:$D$235,2,FALSE),"-1")</f>
        <v>-1</v>
      </c>
      <c r="AB71" s="53" t="str">
        <f>_xlfn.IFNA(VLOOKUP($C71&amp;","&amp;AB3,汇编指令!$C$2:$D$235,2,FALSE),"-1")</f>
        <v>-1</v>
      </c>
    </row>
    <row r="72" s="7" customFormat="1" ht="20" customHeight="1" spans="1:29">
      <c r="A72" s="16">
        <v>2</v>
      </c>
      <c r="B72" s="21">
        <f t="shared" si="3"/>
        <v>68</v>
      </c>
      <c r="C72" s="24" t="s">
        <v>987</v>
      </c>
      <c r="D72" s="23" t="str">
        <f t="shared" si="4"/>
        <v>44</v>
      </c>
      <c r="E72" s="34" t="str">
        <f>_xlfn.IFNA(VLOOKUP($C72&amp;","&amp;E3,汇编指令!$C$2:$D$235,2,FALSE),"-1")</f>
        <v>-1</v>
      </c>
      <c r="F72" s="32" t="str">
        <f>_xlfn.IFNA(VLOOKUP($C72&amp;","&amp;F3,汇编指令!$C$2:$D$235,2,FALSE),"-1")</f>
        <v>-1</v>
      </c>
      <c r="G72" s="32" t="str">
        <f>_xlfn.IFNA(VLOOKUP($C72&amp;","&amp;G3,汇编指令!$C$2:$D$235,2,FALSE),"-1")</f>
        <v>-1</v>
      </c>
      <c r="H72" s="32" t="str">
        <f>_xlfn.IFNA(VLOOKUP($C72&amp;","&amp;H3,汇编指令!$C$2:$D$235,2,FALSE),"-1")</f>
        <v>-1</v>
      </c>
      <c r="I72" s="32" t="str">
        <f>_xlfn.IFNA(VLOOKUP($C72&amp;","&amp;I3,汇编指令!$C$2:$D$235,2,FALSE),"-1")</f>
        <v>-1</v>
      </c>
      <c r="J72" s="32" t="str">
        <f>_xlfn.IFNA(VLOOKUP($C72&amp;","&amp;J3,汇编指令!$C$2:$D$235,2,FALSE),"-1")</f>
        <v>-1</v>
      </c>
      <c r="K72" s="32" t="str">
        <f>_xlfn.IFNA(VLOOKUP($C72&amp;","&amp;K3,汇编指令!$C$2:$D$235,2,FALSE),"-1")</f>
        <v>-1</v>
      </c>
      <c r="L72" s="32" t="str">
        <f>_xlfn.IFNA(VLOOKUP($C72&amp;","&amp;L3,汇编指令!$C$2:$D$235,2,FALSE),"-1")</f>
        <v>-1</v>
      </c>
      <c r="M72" s="32" t="str">
        <f>_xlfn.IFNA(VLOOKUP($C72&amp;","&amp;M3,汇编指令!$C$2:$D$235,2,FALSE),"-1")</f>
        <v>-1</v>
      </c>
      <c r="N72" s="32" t="str">
        <f>_xlfn.IFNA(VLOOKUP($C72&amp;","&amp;N3,汇编指令!$C$2:$D$235,2,FALSE),"-1")</f>
        <v>-1</v>
      </c>
      <c r="O72" s="32" t="str">
        <f>_xlfn.IFNA(VLOOKUP($C72&amp;","&amp;O3,汇编指令!$C$2:$D$235,2,FALSE),"-1")</f>
        <v>-1</v>
      </c>
      <c r="P72" s="32" t="str">
        <f>_xlfn.IFNA(VLOOKUP($C72&amp;","&amp;P3,汇编指令!$C$2:$D$235,2,FALSE),"-1")</f>
        <v>-1</v>
      </c>
      <c r="Q72" s="32" t="str">
        <f>_xlfn.IFNA(VLOOKUP($C72&amp;","&amp;Q3,汇编指令!$C$2:$D$235,2,FALSE),"-1")</f>
        <v>-1</v>
      </c>
      <c r="R72" s="32" t="str">
        <f>_xlfn.IFNA(VLOOKUP($C72&amp;","&amp;R3,汇编指令!$C$2:$D$235,2,FALSE),"-1")</f>
        <v>-1</v>
      </c>
      <c r="S72" s="32" t="str">
        <f>_xlfn.IFNA(VLOOKUP($C72&amp;","&amp;S3,汇编指令!$C$2:$D$235,2,FALSE),"-1")</f>
        <v>-1</v>
      </c>
      <c r="T72" s="32" t="str">
        <f>_xlfn.IFNA(VLOOKUP($C72&amp;","&amp;T3,汇编指令!$C$2:$D$235,2,FALSE),"-1")</f>
        <v>-1</v>
      </c>
      <c r="U72" s="32" t="str">
        <f>_xlfn.IFNA(VLOOKUP($C72&amp;","&amp;U3,汇编指令!$C$2:$D$235,2,FALSE),"-1")</f>
        <v>-1</v>
      </c>
      <c r="V72" s="32" t="str">
        <f>_xlfn.IFNA(VLOOKUP($C72&amp;","&amp;V3,汇编指令!$C$2:$D$235,2,FALSE),"-1")</f>
        <v>-1</v>
      </c>
      <c r="W72" s="32" t="str">
        <f>_xlfn.IFNA(VLOOKUP($C72&amp;","&amp;W3,汇编指令!$C$2:$D$235,2,FALSE),"-1")</f>
        <v>-1</v>
      </c>
      <c r="X72" s="33" t="str">
        <f>_xlfn.IFNA(VLOOKUP($C72&amp;","&amp;X3,汇编指令!$C$2:$D$235,2,FALSE),"-1")</f>
        <v>30</v>
      </c>
      <c r="Y72" s="32" t="str">
        <f>_xlfn.IFNA(VLOOKUP($C72&amp;","&amp;Y3,汇编指令!$C$2:$D$235,2,FALSE),"-1")</f>
        <v>-1</v>
      </c>
      <c r="Z72" s="32" t="str">
        <f>_xlfn.IFNA(VLOOKUP($C72&amp;","&amp;Z3,汇编指令!$C$2:$D$235,2,FALSE),"-1")</f>
        <v>-1</v>
      </c>
      <c r="AA72" s="32" t="str">
        <f>_xlfn.IFNA(VLOOKUP($C72&amp;","&amp;AA3,汇编指令!$C$2:$D$235,2,FALSE),"-1")</f>
        <v>-1</v>
      </c>
      <c r="AB72" s="53" t="str">
        <f>_xlfn.IFNA(VLOOKUP($C72&amp;","&amp;AB3,汇编指令!$C$2:$D$235,2,FALSE),"-1")</f>
        <v>-1</v>
      </c>
      <c r="AC72" s="55"/>
    </row>
    <row r="73" s="7" customFormat="1" ht="20" customHeight="1" spans="1:29">
      <c r="A73" s="16">
        <v>2</v>
      </c>
      <c r="B73" s="21">
        <f t="shared" si="3"/>
        <v>69</v>
      </c>
      <c r="C73" s="24" t="s">
        <v>988</v>
      </c>
      <c r="D73" s="23" t="str">
        <f t="shared" si="4"/>
        <v>45</v>
      </c>
      <c r="E73" s="31" t="str">
        <f>_xlfn.IFNA(VLOOKUP($C73&amp;","&amp;E3,汇编指令!$C$2:$D$235,2,FALSE),"-1")</f>
        <v>F6</v>
      </c>
      <c r="F73" s="32" t="str">
        <f>_xlfn.IFNA(VLOOKUP($C73&amp;","&amp;F3,汇编指令!$C$2:$D$235,2,FALSE),"-1")</f>
        <v>-1</v>
      </c>
      <c r="G73" s="32" t="str">
        <f>_xlfn.IFNA(VLOOKUP($C73&amp;","&amp;G3,汇编指令!$C$2:$D$235,2,FALSE),"-1")</f>
        <v>-1</v>
      </c>
      <c r="H73" s="32" t="str">
        <f>_xlfn.IFNA(VLOOKUP($C73&amp;","&amp;H3,汇编指令!$C$2:$D$235,2,FALSE),"-1")</f>
        <v>-1</v>
      </c>
      <c r="I73" s="32" t="str">
        <f>_xlfn.IFNA(VLOOKUP($C73&amp;","&amp;I3,汇编指令!$C$2:$D$235,2,FALSE),"-1")</f>
        <v>-1</v>
      </c>
      <c r="J73" s="32" t="str">
        <f>_xlfn.IFNA(VLOOKUP($C73&amp;","&amp;J3,汇编指令!$C$2:$D$235,2,FALSE),"-1")</f>
        <v>-1</v>
      </c>
      <c r="K73" s="32" t="str">
        <f>_xlfn.IFNA(VLOOKUP($C73&amp;","&amp;K3,汇编指令!$C$2:$D$235,2,FALSE),"-1")</f>
        <v>-1</v>
      </c>
      <c r="L73" s="32" t="str">
        <f>_xlfn.IFNA(VLOOKUP($C73&amp;","&amp;L3,汇编指令!$C$2:$D$235,2,FALSE),"-1")</f>
        <v>-1</v>
      </c>
      <c r="M73" s="32" t="str">
        <f>_xlfn.IFNA(VLOOKUP($C73&amp;","&amp;M3,汇编指令!$C$2:$D$235,2,FALSE),"-1")</f>
        <v>-1</v>
      </c>
      <c r="N73" s="33" t="str">
        <f>_xlfn.IFNA(VLOOKUP($C73&amp;","&amp;N3,汇编指令!$C$2:$D$235,2,FALSE),"-1")</f>
        <v>76</v>
      </c>
      <c r="O73" s="33" t="str">
        <f>_xlfn.IFNA(VLOOKUP($C73&amp;","&amp;O3,汇编指令!$C$2:$D$235,2,FALSE),"-1")</f>
        <v>A6</v>
      </c>
      <c r="P73" s="32" t="str">
        <f>_xlfn.IFNA(VLOOKUP($C73&amp;","&amp;P3,汇编指令!$C$2:$D$235,2,FALSE),"-1")</f>
        <v>-1</v>
      </c>
      <c r="Q73" s="32" t="str">
        <f>_xlfn.IFNA(VLOOKUP($C73&amp;","&amp;Q3,汇编指令!$C$2:$D$235,2,FALSE),"-1")</f>
        <v>-1</v>
      </c>
      <c r="R73" s="32" t="str">
        <f>_xlfn.IFNA(VLOOKUP($C73&amp;","&amp;R3,汇编指令!$C$2:$D$235,2,FALSE),"-1")</f>
        <v>-1</v>
      </c>
      <c r="S73" s="32" t="str">
        <f>_xlfn.IFNA(VLOOKUP($C73&amp;","&amp;S3,汇编指令!$C$2:$D$235,2,FALSE),"-1")</f>
        <v>-1</v>
      </c>
      <c r="T73" s="32" t="str">
        <f>_xlfn.IFNA(VLOOKUP($C73&amp;","&amp;T3,汇编指令!$C$2:$D$235,2,FALSE),"-1")</f>
        <v>-1</v>
      </c>
      <c r="U73" s="32" t="str">
        <f>_xlfn.IFNA(VLOOKUP($C73&amp;","&amp;U3,汇编指令!$C$2:$D$235,2,FALSE),"-1")</f>
        <v>-1</v>
      </c>
      <c r="V73" s="32" t="str">
        <f>_xlfn.IFNA(VLOOKUP($C73&amp;","&amp;V3,汇编指令!$C$2:$D$235,2,FALSE),"-1")</f>
        <v>-1</v>
      </c>
      <c r="W73" s="32" t="str">
        <f>_xlfn.IFNA(VLOOKUP($C73&amp;","&amp;W3,汇编指令!$C$2:$D$235,2,FALSE),"-1")</f>
        <v>-1</v>
      </c>
      <c r="X73" s="32" t="str">
        <f>_xlfn.IFNA(VLOOKUP($C73&amp;","&amp;X3,汇编指令!$C$2:$D$235,2,FALSE),"-1")</f>
        <v>-1</v>
      </c>
      <c r="Y73" s="32" t="str">
        <f>_xlfn.IFNA(VLOOKUP($C73&amp;","&amp;Y3,汇编指令!$C$2:$D$235,2,FALSE),"-1")</f>
        <v>-1</v>
      </c>
      <c r="Z73" s="32" t="str">
        <f>_xlfn.IFNA(VLOOKUP($C73&amp;","&amp;Z3,汇编指令!$C$2:$D$235,2,FALSE),"-1")</f>
        <v>-1</v>
      </c>
      <c r="AA73" s="32" t="str">
        <f>_xlfn.IFNA(VLOOKUP($C73&amp;","&amp;AA3,汇编指令!$C$2:$D$235,2,FALSE),"-1")</f>
        <v>-1</v>
      </c>
      <c r="AB73" s="53" t="str">
        <f>_xlfn.IFNA(VLOOKUP($C73&amp;","&amp;AB3,汇编指令!$C$2:$D$235,2,FALSE),"-1")</f>
        <v>-1</v>
      </c>
      <c r="AC73" s="55"/>
    </row>
    <row r="74" s="7" customFormat="1" ht="20" customHeight="1" spans="1:29">
      <c r="A74" s="16">
        <v>2</v>
      </c>
      <c r="B74" s="21">
        <f t="shared" si="3"/>
        <v>70</v>
      </c>
      <c r="C74" s="24" t="s">
        <v>989</v>
      </c>
      <c r="D74" s="23" t="str">
        <f t="shared" si="4"/>
        <v>46</v>
      </c>
      <c r="E74" s="31" t="str">
        <f>_xlfn.IFNA(VLOOKUP($C74&amp;","&amp;E3,汇编指令!$C$2:$D$235,2,FALSE),"-1")</f>
        <v>F7</v>
      </c>
      <c r="F74" s="32" t="str">
        <f>_xlfn.IFNA(VLOOKUP($C74&amp;","&amp;F3,汇编指令!$C$2:$D$235,2,FALSE),"-1")</f>
        <v>-1</v>
      </c>
      <c r="G74" s="32" t="str">
        <f>_xlfn.IFNA(VLOOKUP($C74&amp;","&amp;G3,汇编指令!$C$2:$D$235,2,FALSE),"-1")</f>
        <v>-1</v>
      </c>
      <c r="H74" s="32" t="str">
        <f>_xlfn.IFNA(VLOOKUP($C74&amp;","&amp;H3,汇编指令!$C$2:$D$235,2,FALSE),"-1")</f>
        <v>-1</v>
      </c>
      <c r="I74" s="32" t="str">
        <f>_xlfn.IFNA(VLOOKUP($C74&amp;","&amp;I3,汇编指令!$C$2:$D$235,2,FALSE),"-1")</f>
        <v>-1</v>
      </c>
      <c r="J74" s="32" t="str">
        <f>_xlfn.IFNA(VLOOKUP($C74&amp;","&amp;J3,汇编指令!$C$2:$D$235,2,FALSE),"-1")</f>
        <v>-1</v>
      </c>
      <c r="K74" s="32" t="str">
        <f>_xlfn.IFNA(VLOOKUP($C74&amp;","&amp;K3,汇编指令!$C$2:$D$235,2,FALSE),"-1")</f>
        <v>-1</v>
      </c>
      <c r="L74" s="32" t="str">
        <f>_xlfn.IFNA(VLOOKUP($C74&amp;","&amp;L3,汇编指令!$C$2:$D$235,2,FALSE),"-1")</f>
        <v>-1</v>
      </c>
      <c r="M74" s="32" t="str">
        <f>_xlfn.IFNA(VLOOKUP($C74&amp;","&amp;M3,汇编指令!$C$2:$D$235,2,FALSE),"-1")</f>
        <v>-1</v>
      </c>
      <c r="N74" s="33" t="str">
        <f>_xlfn.IFNA(VLOOKUP($C74&amp;","&amp;N3,汇编指令!$C$2:$D$235,2,FALSE),"-1")</f>
        <v>77</v>
      </c>
      <c r="O74" s="33" t="str">
        <f>_xlfn.IFNA(VLOOKUP($C74&amp;","&amp;O3,汇编指令!$C$2:$D$235,2,FALSE),"-1")</f>
        <v>A7</v>
      </c>
      <c r="P74" s="32" t="str">
        <f>_xlfn.IFNA(VLOOKUP($C74&amp;","&amp;P3,汇编指令!$C$2:$D$235,2,FALSE),"-1")</f>
        <v>-1</v>
      </c>
      <c r="Q74" s="32" t="str">
        <f>_xlfn.IFNA(VLOOKUP($C74&amp;","&amp;Q3,汇编指令!$C$2:$D$235,2,FALSE),"-1")</f>
        <v>-1</v>
      </c>
      <c r="R74" s="32" t="str">
        <f>_xlfn.IFNA(VLOOKUP($C74&amp;","&amp;R3,汇编指令!$C$2:$D$235,2,FALSE),"-1")</f>
        <v>-1</v>
      </c>
      <c r="S74" s="32" t="str">
        <f>_xlfn.IFNA(VLOOKUP($C74&amp;","&amp;S3,汇编指令!$C$2:$D$235,2,FALSE),"-1")</f>
        <v>-1</v>
      </c>
      <c r="T74" s="32" t="str">
        <f>_xlfn.IFNA(VLOOKUP($C74&amp;","&amp;T3,汇编指令!$C$2:$D$235,2,FALSE),"-1")</f>
        <v>-1</v>
      </c>
      <c r="U74" s="32" t="str">
        <f>_xlfn.IFNA(VLOOKUP($C74&amp;","&amp;U3,汇编指令!$C$2:$D$235,2,FALSE),"-1")</f>
        <v>-1</v>
      </c>
      <c r="V74" s="32" t="str">
        <f>_xlfn.IFNA(VLOOKUP($C74&amp;","&amp;V3,汇编指令!$C$2:$D$235,2,FALSE),"-1")</f>
        <v>-1</v>
      </c>
      <c r="W74" s="32" t="str">
        <f>_xlfn.IFNA(VLOOKUP($C74&amp;","&amp;W3,汇编指令!$C$2:$D$235,2,FALSE),"-1")</f>
        <v>-1</v>
      </c>
      <c r="X74" s="32" t="str">
        <f>_xlfn.IFNA(VLOOKUP($C74&amp;","&amp;X3,汇编指令!$C$2:$D$235,2,FALSE),"-1")</f>
        <v>-1</v>
      </c>
      <c r="Y74" s="32" t="str">
        <f>_xlfn.IFNA(VLOOKUP($C74&amp;","&amp;Y3,汇编指令!$C$2:$D$235,2,FALSE),"-1")</f>
        <v>-1</v>
      </c>
      <c r="Z74" s="32" t="str">
        <f>_xlfn.IFNA(VLOOKUP($C74&amp;","&amp;Z3,汇编指令!$C$2:$D$235,2,FALSE),"-1")</f>
        <v>-1</v>
      </c>
      <c r="AA74" s="32" t="str">
        <f>_xlfn.IFNA(VLOOKUP($C74&amp;","&amp;AA3,汇编指令!$C$2:$D$235,2,FALSE),"-1")</f>
        <v>-1</v>
      </c>
      <c r="AB74" s="53" t="str">
        <f>_xlfn.IFNA(VLOOKUP($C74&amp;","&amp;AB3,汇编指令!$C$2:$D$235,2,FALSE),"-1")</f>
        <v>-1</v>
      </c>
      <c r="AC74" s="55"/>
    </row>
    <row r="75" s="7" customFormat="1" ht="20" customHeight="1" spans="1:29">
      <c r="A75" s="16">
        <v>2</v>
      </c>
      <c r="B75" s="21">
        <f t="shared" si="3"/>
        <v>71</v>
      </c>
      <c r="C75" s="24" t="s">
        <v>990</v>
      </c>
      <c r="D75" s="23" t="str">
        <f t="shared" si="4"/>
        <v>47</v>
      </c>
      <c r="E75" s="34" t="str">
        <f>_xlfn.IFNA(VLOOKUP($C75&amp;","&amp;E3,汇编指令!$C$2:$D$235,2,FALSE),"-1")</f>
        <v>-1</v>
      </c>
      <c r="F75" s="33" t="str">
        <f>_xlfn.IFNA(VLOOKUP($C75&amp;","&amp;F3,汇编指令!$C$2:$D$235,2,FALSE),"-1")</f>
        <v>E8</v>
      </c>
      <c r="G75" s="33" t="str">
        <f>_xlfn.IFNA(VLOOKUP($C75&amp;","&amp;G3,汇编指令!$C$2:$D$235,2,FALSE),"-1")</f>
        <v>E9</v>
      </c>
      <c r="H75" s="33" t="str">
        <f>_xlfn.IFNA(VLOOKUP($C75&amp;","&amp;H3,汇编指令!$C$2:$D$235,2,FALSE),"-1")</f>
        <v>EA</v>
      </c>
      <c r="I75" s="33" t="str">
        <f>_xlfn.IFNA(VLOOKUP($C75&amp;","&amp;I3,汇编指令!$C$2:$D$235,2,FALSE),"-1")</f>
        <v>EB</v>
      </c>
      <c r="J75" s="33" t="str">
        <f>_xlfn.IFNA(VLOOKUP($C75&amp;","&amp;J3,汇编指令!$C$2:$D$235,2,FALSE),"-1")</f>
        <v>EC</v>
      </c>
      <c r="K75" s="33" t="str">
        <f>_xlfn.IFNA(VLOOKUP($C75&amp;","&amp;K3,汇编指令!$C$2:$D$235,2,FALSE),"-1")</f>
        <v>ED</v>
      </c>
      <c r="L75" s="33" t="str">
        <f>_xlfn.IFNA(VLOOKUP($C75&amp;","&amp;L3,汇编指令!$C$2:$D$235,2,FALSE),"-1")</f>
        <v>EE</v>
      </c>
      <c r="M75" s="33" t="str">
        <f>_xlfn.IFNA(VLOOKUP($C75&amp;","&amp;M3,汇编指令!$C$2:$D$235,2,FALSE),"-1")</f>
        <v>EF</v>
      </c>
      <c r="N75" s="33" t="str">
        <f>_xlfn.IFNA(VLOOKUP($C75&amp;","&amp;N3,汇编指令!$C$2:$D$235,2,FALSE),"-1")</f>
        <v>74</v>
      </c>
      <c r="O75" s="33" t="str">
        <f>_xlfn.IFNA(VLOOKUP($C75&amp;","&amp;O3,汇编指令!$C$2:$D$235,2,FALSE),"-1")</f>
        <v>E5</v>
      </c>
      <c r="P75" s="33" t="str">
        <f>_xlfn.IFNA(VLOOKUP($C75&amp;","&amp;P3,汇编指令!$C$2:$D$235,2,FALSE),"-1")</f>
        <v>E6</v>
      </c>
      <c r="Q75" s="33" t="str">
        <f>_xlfn.IFNA(VLOOKUP($C75&amp;","&amp;Q3,汇编指令!$C$2:$D$235,2,FALSE),"-1")</f>
        <v>E7</v>
      </c>
      <c r="R75" s="32" t="str">
        <f>_xlfn.IFNA(VLOOKUP($C75&amp;","&amp;R3,汇编指令!$C$2:$D$235,2,FALSE),"-1")</f>
        <v>-1</v>
      </c>
      <c r="S75" s="32" t="str">
        <f>_xlfn.IFNA(VLOOKUP($C75&amp;","&amp;S3,汇编指令!$C$2:$D$235,2,FALSE),"-1")</f>
        <v>-1</v>
      </c>
      <c r="T75" s="32" t="str">
        <f>_xlfn.IFNA(VLOOKUP($C75&amp;","&amp;T3,汇编指令!$C$2:$D$235,2,FALSE),"-1")</f>
        <v>-1</v>
      </c>
      <c r="U75" s="32" t="str">
        <f>_xlfn.IFNA(VLOOKUP($C75&amp;","&amp;U3,汇编指令!$C$2:$D$235,2,FALSE),"-1")</f>
        <v>-1</v>
      </c>
      <c r="V75" s="32" t="str">
        <f>_xlfn.IFNA(VLOOKUP($C75&amp;","&amp;V3,汇编指令!$C$2:$D$235,2,FALSE),"-1")</f>
        <v>-1</v>
      </c>
      <c r="W75" s="32" t="str">
        <f>_xlfn.IFNA(VLOOKUP($C75&amp;","&amp;W3,汇编指令!$C$2:$D$235,2,FALSE),"-1")</f>
        <v>-1</v>
      </c>
      <c r="X75" s="32" t="str">
        <f>_xlfn.IFNA(VLOOKUP($C75&amp;","&amp;X3,汇编指令!$C$2:$D$235,2,FALSE),"-1")</f>
        <v>-1</v>
      </c>
      <c r="Y75" s="32" t="str">
        <f>_xlfn.IFNA(VLOOKUP($C75&amp;","&amp;Y3,汇编指令!$C$2:$D$235,2,FALSE),"-1")</f>
        <v>-1</v>
      </c>
      <c r="Z75" s="32" t="str">
        <f>_xlfn.IFNA(VLOOKUP($C75&amp;","&amp;Z3,汇编指令!$C$2:$D$235,2,FALSE),"-1")</f>
        <v>-1</v>
      </c>
      <c r="AA75" s="32" t="str">
        <f>_xlfn.IFNA(VLOOKUP($C75&amp;","&amp;AA3,汇编指令!$C$2:$D$235,2,FALSE),"-1")</f>
        <v>-1</v>
      </c>
      <c r="AB75" s="53" t="str">
        <f>_xlfn.IFNA(VLOOKUP($C75&amp;","&amp;AB3,汇编指令!$C$2:$D$235,2,FALSE),"-1")</f>
        <v>-1</v>
      </c>
      <c r="AC75" s="55"/>
    </row>
    <row r="76" s="7" customFormat="1" ht="20" customHeight="1" spans="1:29">
      <c r="A76" s="16">
        <v>2</v>
      </c>
      <c r="B76" s="21">
        <f t="shared" si="3"/>
        <v>72</v>
      </c>
      <c r="C76" s="24" t="s">
        <v>991</v>
      </c>
      <c r="D76" s="23" t="str">
        <f t="shared" si="4"/>
        <v>48</v>
      </c>
      <c r="E76" s="34" t="str">
        <f>_xlfn.IFNA(VLOOKUP($C76&amp;","&amp;E3,汇编指令!$C$2:$D$235,2,FALSE),"-1")</f>
        <v>-1</v>
      </c>
      <c r="F76" s="32" t="str">
        <f>_xlfn.IFNA(VLOOKUP($C76&amp;","&amp;F3,汇编指令!$C$2:$D$235,2,FALSE),"-1")</f>
        <v>-1</v>
      </c>
      <c r="G76" s="32" t="str">
        <f>_xlfn.IFNA(VLOOKUP($C76&amp;","&amp;G3,汇编指令!$C$2:$D$235,2,FALSE),"-1")</f>
        <v>-1</v>
      </c>
      <c r="H76" s="32" t="str">
        <f>_xlfn.IFNA(VLOOKUP($C76&amp;","&amp;H3,汇编指令!$C$2:$D$235,2,FALSE),"-1")</f>
        <v>-1</v>
      </c>
      <c r="I76" s="32" t="str">
        <f>_xlfn.IFNA(VLOOKUP($C76&amp;","&amp;I3,汇编指令!$C$2:$D$235,2,FALSE),"-1")</f>
        <v>-1</v>
      </c>
      <c r="J76" s="32" t="str">
        <f>_xlfn.IFNA(VLOOKUP($C76&amp;","&amp;J3,汇编指令!$C$2:$D$235,2,FALSE),"-1")</f>
        <v>-1</v>
      </c>
      <c r="K76" s="32" t="str">
        <f>_xlfn.IFNA(VLOOKUP($C76&amp;","&amp;K3,汇编指令!$C$2:$D$235,2,FALSE),"-1")</f>
        <v>-1</v>
      </c>
      <c r="L76" s="32" t="str">
        <f>_xlfn.IFNA(VLOOKUP($C76&amp;","&amp;L3,汇编指令!$C$2:$D$235,2,FALSE),"-1")</f>
        <v>-1</v>
      </c>
      <c r="M76" s="32" t="str">
        <f>_xlfn.IFNA(VLOOKUP($C76&amp;","&amp;M3,汇编指令!$C$2:$D$235,2,FALSE),"-1")</f>
        <v>-1</v>
      </c>
      <c r="N76" s="32" t="str">
        <f>_xlfn.IFNA(VLOOKUP($C76&amp;","&amp;N3,汇编指令!$C$2:$D$235,2,FALSE),"-1")</f>
        <v>-1</v>
      </c>
      <c r="O76" s="32" t="str">
        <f>_xlfn.IFNA(VLOOKUP($C76&amp;","&amp;O3,汇编指令!$C$2:$D$235,2,FALSE),"-1")</f>
        <v>-1</v>
      </c>
      <c r="P76" s="32" t="str">
        <f>_xlfn.IFNA(VLOOKUP($C76&amp;","&amp;P3,汇编指令!$C$2:$D$235,2,FALSE),"-1")</f>
        <v>-1</v>
      </c>
      <c r="Q76" s="32" t="str">
        <f>_xlfn.IFNA(VLOOKUP($C76&amp;","&amp;Q3,汇编指令!$C$2:$D$235,2,FALSE),"-1")</f>
        <v>-1</v>
      </c>
      <c r="R76" s="32" t="str">
        <f>_xlfn.IFNA(VLOOKUP($C76&amp;","&amp;R3,汇编指令!$C$2:$D$235,2,FALSE),"-1")</f>
        <v>-1</v>
      </c>
      <c r="S76" s="32" t="str">
        <f>_xlfn.IFNA(VLOOKUP($C76&amp;","&amp;S3,汇编指令!$C$2:$D$235,2,FALSE),"-1")</f>
        <v>-1</v>
      </c>
      <c r="T76" s="32" t="str">
        <f>_xlfn.IFNA(VLOOKUP($C76&amp;","&amp;T3,汇编指令!$C$2:$D$235,2,FALSE),"-1")</f>
        <v>-1</v>
      </c>
      <c r="U76" s="32" t="str">
        <f>_xlfn.IFNA(VLOOKUP($C76&amp;","&amp;U3,汇编指令!$C$2:$D$235,2,FALSE),"-1")</f>
        <v>-1</v>
      </c>
      <c r="V76" s="32" t="str">
        <f>_xlfn.IFNA(VLOOKUP($C76&amp;","&amp;V3,汇编指令!$C$2:$D$235,2,FALSE),"-1")</f>
        <v>-1</v>
      </c>
      <c r="W76" s="32" t="str">
        <f>_xlfn.IFNA(VLOOKUP($C76&amp;","&amp;W3,汇编指令!$C$2:$D$235,2,FALSE),"-1")</f>
        <v>-1</v>
      </c>
      <c r="X76" s="32" t="str">
        <f>_xlfn.IFNA(VLOOKUP($C76&amp;","&amp;X3,汇编指令!$C$2:$D$235,2,FALSE),"-1")</f>
        <v>-1</v>
      </c>
      <c r="Y76" s="32" t="str">
        <f>_xlfn.IFNA(VLOOKUP($C76&amp;","&amp;Y3,汇编指令!$C$2:$D$235,2,FALSE),"-1")</f>
        <v>-1</v>
      </c>
      <c r="Z76" s="33" t="str">
        <f>_xlfn.IFNA(VLOOKUP($C76&amp;","&amp;Z3,汇编指令!$C$2:$D$235,2,FALSE),"-1")</f>
        <v>92</v>
      </c>
      <c r="AA76" s="32" t="str">
        <f>_xlfn.IFNA(VLOOKUP($C76&amp;","&amp;AA3,汇编指令!$C$2:$D$235,2,FALSE),"-1")</f>
        <v>-1</v>
      </c>
      <c r="AB76" s="53" t="str">
        <f>_xlfn.IFNA(VLOOKUP($C76&amp;","&amp;AB3,汇编指令!$C$2:$D$235,2,FALSE),"-1")</f>
        <v>-1</v>
      </c>
      <c r="AC76" s="55"/>
    </row>
    <row r="77" s="7" customFormat="1" ht="20" customHeight="1" spans="1:29">
      <c r="A77" s="16">
        <v>2</v>
      </c>
      <c r="B77" s="21">
        <f t="shared" si="3"/>
        <v>73</v>
      </c>
      <c r="C77" s="24" t="s">
        <v>992</v>
      </c>
      <c r="D77" s="23" t="str">
        <f t="shared" si="4"/>
        <v>49</v>
      </c>
      <c r="E77" s="34" t="str">
        <f>_xlfn.IFNA(VLOOKUP($C77&amp;","&amp;E3,汇编指令!$C$2:$D$235,2,FALSE),"-1")</f>
        <v>-1</v>
      </c>
      <c r="F77" s="32" t="str">
        <f>_xlfn.IFNA(VLOOKUP($C77&amp;","&amp;F3,汇编指令!$C$2:$D$235,2,FALSE),"-1")</f>
        <v>-1</v>
      </c>
      <c r="G77" s="32" t="str">
        <f>_xlfn.IFNA(VLOOKUP($C77&amp;","&amp;G3,汇编指令!$C$2:$D$235,2,FALSE),"-1")</f>
        <v>-1</v>
      </c>
      <c r="H77" s="32" t="str">
        <f>_xlfn.IFNA(VLOOKUP($C77&amp;","&amp;H3,汇编指令!$C$2:$D$235,2,FALSE),"-1")</f>
        <v>-1</v>
      </c>
      <c r="I77" s="32" t="str">
        <f>_xlfn.IFNA(VLOOKUP($C77&amp;","&amp;I3,汇编指令!$C$2:$D$235,2,FALSE),"-1")</f>
        <v>-1</v>
      </c>
      <c r="J77" s="32" t="str">
        <f>_xlfn.IFNA(VLOOKUP($C77&amp;","&amp;J3,汇编指令!$C$2:$D$235,2,FALSE),"-1")</f>
        <v>-1</v>
      </c>
      <c r="K77" s="32" t="str">
        <f>_xlfn.IFNA(VLOOKUP($C77&amp;","&amp;K3,汇编指令!$C$2:$D$235,2,FALSE),"-1")</f>
        <v>-1</v>
      </c>
      <c r="L77" s="32" t="str">
        <f>_xlfn.IFNA(VLOOKUP($C77&amp;","&amp;L3,汇编指令!$C$2:$D$235,2,FALSE),"-1")</f>
        <v>-1</v>
      </c>
      <c r="M77" s="32" t="str">
        <f>_xlfn.IFNA(VLOOKUP($C77&amp;","&amp;M3,汇编指令!$C$2:$D$235,2,FALSE),"-1")</f>
        <v>-1</v>
      </c>
      <c r="N77" s="32" t="str">
        <f>_xlfn.IFNA(VLOOKUP($C77&amp;","&amp;N3,汇编指令!$C$2:$D$235,2,FALSE),"-1")</f>
        <v>-1</v>
      </c>
      <c r="O77" s="32" t="str">
        <f>_xlfn.IFNA(VLOOKUP($C77&amp;","&amp;O3,汇编指令!$C$2:$D$235,2,FALSE),"-1")</f>
        <v>-1</v>
      </c>
      <c r="P77" s="32" t="str">
        <f>_xlfn.IFNA(VLOOKUP($C77&amp;","&amp;P3,汇编指令!$C$2:$D$235,2,FALSE),"-1")</f>
        <v>-1</v>
      </c>
      <c r="Q77" s="32" t="str">
        <f>_xlfn.IFNA(VLOOKUP($C77&amp;","&amp;Q3,汇编指令!$C$2:$D$235,2,FALSE),"-1")</f>
        <v>-1</v>
      </c>
      <c r="R77" s="32" t="str">
        <f>_xlfn.IFNA(VLOOKUP($C77&amp;","&amp;R3,汇编指令!$C$2:$D$235,2,FALSE),"-1")</f>
        <v>-1</v>
      </c>
      <c r="S77" s="32" t="str">
        <f>_xlfn.IFNA(VLOOKUP($C77&amp;","&amp;S3,汇编指令!$C$2:$D$235,2,FALSE),"-1")</f>
        <v>-1</v>
      </c>
      <c r="T77" s="32" t="str">
        <f>_xlfn.IFNA(VLOOKUP($C77&amp;","&amp;T3,汇编指令!$C$2:$D$235,2,FALSE),"-1")</f>
        <v>-1</v>
      </c>
      <c r="U77" s="32" t="str">
        <f>_xlfn.IFNA(VLOOKUP($C77&amp;","&amp;U3,汇编指令!$C$2:$D$235,2,FALSE),"-1")</f>
        <v>-1</v>
      </c>
      <c r="V77" s="32" t="str">
        <f>_xlfn.IFNA(VLOOKUP($C77&amp;","&amp;V3,汇编指令!$C$2:$D$235,2,FALSE),"-1")</f>
        <v>-1</v>
      </c>
      <c r="W77" s="32" t="str">
        <f>_xlfn.IFNA(VLOOKUP($C77&amp;","&amp;W3,汇编指令!$C$2:$D$235,2,FALSE),"-1")</f>
        <v>-1</v>
      </c>
      <c r="X77" s="32" t="str">
        <f>_xlfn.IFNA(VLOOKUP($C77&amp;","&amp;X3,汇编指令!$C$2:$D$235,2,FALSE),"-1")</f>
        <v>-1</v>
      </c>
      <c r="Y77" s="33" t="str">
        <f>_xlfn.IFNA(VLOOKUP($C77&amp;","&amp;Y3,汇编指令!$C$2:$D$235,2,FALSE),"-1")</f>
        <v>A2</v>
      </c>
      <c r="Z77" s="32" t="str">
        <f>_xlfn.IFNA(VLOOKUP($C77&amp;","&amp;Z3,汇编指令!$C$2:$D$235,2,FALSE),"-1")</f>
        <v>-1</v>
      </c>
      <c r="AA77" s="32" t="str">
        <f>_xlfn.IFNA(VLOOKUP($C77&amp;","&amp;AA3,汇编指令!$C$2:$D$235,2,FALSE),"-1")</f>
        <v>-1</v>
      </c>
      <c r="AB77" s="53" t="str">
        <f>_xlfn.IFNA(VLOOKUP($C77&amp;","&amp;AB3,汇编指令!$C$2:$D$235,2,FALSE),"-1")</f>
        <v>-1</v>
      </c>
      <c r="AC77" s="55"/>
    </row>
    <row r="78" s="7" customFormat="1" ht="20" customHeight="1" spans="1:29">
      <c r="A78" s="16">
        <v>2</v>
      </c>
      <c r="B78" s="21">
        <f t="shared" si="3"/>
        <v>74</v>
      </c>
      <c r="C78" s="24" t="s">
        <v>993</v>
      </c>
      <c r="D78" s="23" t="str">
        <f t="shared" si="4"/>
        <v>4A</v>
      </c>
      <c r="E78" s="31" t="str">
        <f>_xlfn.IFNA(VLOOKUP($C78&amp;","&amp;E3,汇编指令!$C$2:$D$235,2,FALSE),"-1")</f>
        <v>F5</v>
      </c>
      <c r="F78" s="33" t="str">
        <f>_xlfn.IFNA(VLOOKUP($C78&amp;","&amp;F3,汇编指令!$C$2:$D$235,2,FALSE),"-1")</f>
        <v>88</v>
      </c>
      <c r="G78" s="33" t="str">
        <f>_xlfn.IFNA(VLOOKUP($C78&amp;","&amp;G3,汇编指令!$C$2:$D$235,2,FALSE),"-1")</f>
        <v>89</v>
      </c>
      <c r="H78" s="33" t="str">
        <f>_xlfn.IFNA(VLOOKUP($C78&amp;","&amp;H3,汇编指令!$C$2:$D$235,2,FALSE),"-1")</f>
        <v>8A</v>
      </c>
      <c r="I78" s="33" t="str">
        <f>_xlfn.IFNA(VLOOKUP($C78&amp;","&amp;I3,汇编指令!$C$2:$D$235,2,FALSE),"-1")</f>
        <v>8B</v>
      </c>
      <c r="J78" s="33" t="str">
        <f>_xlfn.IFNA(VLOOKUP($C78&amp;","&amp;J3,汇编指令!$C$2:$D$235,2,FALSE),"-1")</f>
        <v>8C</v>
      </c>
      <c r="K78" s="33" t="str">
        <f>_xlfn.IFNA(VLOOKUP($C78&amp;","&amp;K3,汇编指令!$C$2:$D$235,2,FALSE),"-1")</f>
        <v>8D</v>
      </c>
      <c r="L78" s="33" t="str">
        <f>_xlfn.IFNA(VLOOKUP($C78&amp;","&amp;L3,汇编指令!$C$2:$D$235,2,FALSE),"-1")</f>
        <v>8E</v>
      </c>
      <c r="M78" s="33" t="str">
        <f>_xlfn.IFNA(VLOOKUP($C78&amp;","&amp;M3,汇编指令!$C$2:$D$235,2,FALSE),"-1")</f>
        <v>8F</v>
      </c>
      <c r="N78" s="33" t="str">
        <f>_xlfn.IFNA(VLOOKUP($C78&amp;","&amp;N3,汇编指令!$C$2:$D$235,2,FALSE),"-1")</f>
        <v>75</v>
      </c>
      <c r="O78" s="33" t="str">
        <f>_xlfn.IFNA(VLOOKUP($C78&amp;","&amp;O3,汇编指令!$C$2:$D$235,2,FALSE),"-1")</f>
        <v>85</v>
      </c>
      <c r="P78" s="33" t="str">
        <f>_xlfn.IFNA(VLOOKUP($C78&amp;","&amp;P3,汇编指令!$C$2:$D$235,2,FALSE),"-1")</f>
        <v>86</v>
      </c>
      <c r="Q78" s="33" t="str">
        <f>_xlfn.IFNA(VLOOKUP($C78&amp;","&amp;Q3,汇编指令!$C$2:$D$235,2,FALSE),"-1")</f>
        <v>87</v>
      </c>
      <c r="R78" s="32" t="str">
        <f>_xlfn.IFNA(VLOOKUP($C78&amp;","&amp;R3,汇编指令!$C$2:$D$235,2,FALSE),"-1")</f>
        <v>-1</v>
      </c>
      <c r="S78" s="32" t="str">
        <f>_xlfn.IFNA(VLOOKUP($C78&amp;","&amp;S3,汇编指令!$C$2:$D$235,2,FALSE),"-1")</f>
        <v>-1</v>
      </c>
      <c r="T78" s="32" t="str">
        <f>_xlfn.IFNA(VLOOKUP($C78&amp;","&amp;T3,汇编指令!$C$2:$D$235,2,FALSE),"-1")</f>
        <v>-1</v>
      </c>
      <c r="U78" s="32" t="str">
        <f>_xlfn.IFNA(VLOOKUP($C78&amp;","&amp;U3,汇编指令!$C$2:$D$235,2,FALSE),"-1")</f>
        <v>-1</v>
      </c>
      <c r="V78" s="32" t="str">
        <f>_xlfn.IFNA(VLOOKUP($C78&amp;","&amp;V3,汇编指令!$C$2:$D$235,2,FALSE),"-1")</f>
        <v>-1</v>
      </c>
      <c r="W78" s="32" t="str">
        <f>_xlfn.IFNA(VLOOKUP($C78&amp;","&amp;W3,汇编指令!$C$2:$D$235,2,FALSE),"-1")</f>
        <v>-1</v>
      </c>
      <c r="X78" s="32" t="str">
        <f>_xlfn.IFNA(VLOOKUP($C78&amp;","&amp;X3,汇编指令!$C$2:$D$235,2,FALSE),"-1")</f>
        <v>-1</v>
      </c>
      <c r="Y78" s="32" t="str">
        <f>_xlfn.IFNA(VLOOKUP($C78&amp;","&amp;Y3,汇编指令!$C$2:$D$235,2,FALSE),"-1")</f>
        <v>-1</v>
      </c>
      <c r="Z78" s="32" t="str">
        <f>_xlfn.IFNA(VLOOKUP($C78&amp;","&amp;Z3,汇编指令!$C$2:$D$235,2,FALSE),"-1")</f>
        <v>-1</v>
      </c>
      <c r="AA78" s="32" t="str">
        <f>_xlfn.IFNA(VLOOKUP($C78&amp;","&amp;AA3,汇编指令!$C$2:$D$235,2,FALSE),"-1")</f>
        <v>-1</v>
      </c>
      <c r="AB78" s="53" t="str">
        <f>_xlfn.IFNA(VLOOKUP($C78&amp;","&amp;AB3,汇编指令!$C$2:$D$235,2,FALSE),"-1")</f>
        <v>-1</v>
      </c>
      <c r="AC78" s="55"/>
    </row>
    <row r="79" s="7" customFormat="1" ht="20" customHeight="1" spans="1:29">
      <c r="A79" s="16">
        <v>2</v>
      </c>
      <c r="B79" s="21">
        <f t="shared" si="3"/>
        <v>75</v>
      </c>
      <c r="C79" s="24" t="s">
        <v>994</v>
      </c>
      <c r="D79" s="23" t="str">
        <f t="shared" si="4"/>
        <v>4B</v>
      </c>
      <c r="E79" s="34" t="str">
        <f>_xlfn.IFNA(VLOOKUP($C79&amp;","&amp;E3,汇编指令!$C$2:$D$235,2,FALSE),"-1")</f>
        <v>-1</v>
      </c>
      <c r="F79" s="32" t="str">
        <f>_xlfn.IFNA(VLOOKUP($C79&amp;","&amp;F3,汇编指令!$C$2:$D$235,2,FALSE),"-1")</f>
        <v>-1</v>
      </c>
      <c r="G79" s="32" t="str">
        <f>_xlfn.IFNA(VLOOKUP($C79&amp;","&amp;G3,汇编指令!$C$2:$D$235,2,FALSE),"-1")</f>
        <v>-1</v>
      </c>
      <c r="H79" s="32" t="str">
        <f>_xlfn.IFNA(VLOOKUP($C79&amp;","&amp;H3,汇编指令!$C$2:$D$235,2,FALSE),"-1")</f>
        <v>-1</v>
      </c>
      <c r="I79" s="32" t="str">
        <f>_xlfn.IFNA(VLOOKUP($C79&amp;","&amp;I3,汇编指令!$C$2:$D$235,2,FALSE),"-1")</f>
        <v>-1</v>
      </c>
      <c r="J79" s="32" t="str">
        <f>_xlfn.IFNA(VLOOKUP($C79&amp;","&amp;J3,汇编指令!$C$2:$D$235,2,FALSE),"-1")</f>
        <v>-1</v>
      </c>
      <c r="K79" s="32" t="str">
        <f>_xlfn.IFNA(VLOOKUP($C79&amp;","&amp;K3,汇编指令!$C$2:$D$235,2,FALSE),"-1")</f>
        <v>-1</v>
      </c>
      <c r="L79" s="32" t="str">
        <f>_xlfn.IFNA(VLOOKUP($C79&amp;","&amp;L3,汇编指令!$C$2:$D$235,2,FALSE),"-1")</f>
        <v>-1</v>
      </c>
      <c r="M79" s="32" t="str">
        <f>_xlfn.IFNA(VLOOKUP($C79&amp;","&amp;M3,汇编指令!$C$2:$D$235,2,FALSE),"-1")</f>
        <v>-1</v>
      </c>
      <c r="N79" s="32" t="str">
        <f>_xlfn.IFNA(VLOOKUP($C79&amp;","&amp;N3,汇编指令!$C$2:$D$235,2,FALSE),"-1")</f>
        <v>-1</v>
      </c>
      <c r="O79" s="32" t="str">
        <f>_xlfn.IFNA(VLOOKUP($C79&amp;","&amp;O3,汇编指令!$C$2:$D$235,2,FALSE),"-1")</f>
        <v>-1</v>
      </c>
      <c r="P79" s="32" t="str">
        <f>_xlfn.IFNA(VLOOKUP($C79&amp;","&amp;P3,汇编指令!$C$2:$D$235,2,FALSE),"-1")</f>
        <v>-1</v>
      </c>
      <c r="Q79" s="32" t="str">
        <f>_xlfn.IFNA(VLOOKUP($C79&amp;","&amp;Q3,汇编指令!$C$2:$D$235,2,FALSE),"-1")</f>
        <v>-1</v>
      </c>
      <c r="R79" s="32" t="str">
        <f>_xlfn.IFNA(VLOOKUP($C79&amp;","&amp;R3,汇编指令!$C$2:$D$235,2,FALSE),"-1")</f>
        <v>-1</v>
      </c>
      <c r="S79" s="33" t="str">
        <f>_xlfn.IFNA(VLOOKUP($C79&amp;","&amp;S3,汇编指令!$C$2:$D$235,2,FALSE),"-1")</f>
        <v>90</v>
      </c>
      <c r="T79" s="32" t="str">
        <f>_xlfn.IFNA(VLOOKUP($C79&amp;","&amp;T3,汇编指令!$C$2:$D$235,2,FALSE),"-1")</f>
        <v>-1</v>
      </c>
      <c r="U79" s="32" t="str">
        <f>_xlfn.IFNA(VLOOKUP($C79&amp;","&amp;U3,汇编指令!$C$2:$D$235,2,FALSE),"-1")</f>
        <v>-1</v>
      </c>
      <c r="V79" s="32" t="str">
        <f>_xlfn.IFNA(VLOOKUP($C79&amp;","&amp;V3,汇编指令!$C$2:$D$235,2,FALSE),"-1")</f>
        <v>-1</v>
      </c>
      <c r="W79" s="32" t="str">
        <f>_xlfn.IFNA(VLOOKUP($C79&amp;","&amp;W3,汇编指令!$C$2:$D$235,2,FALSE),"-1")</f>
        <v>-1</v>
      </c>
      <c r="X79" s="32" t="str">
        <f>_xlfn.IFNA(VLOOKUP($C79&amp;","&amp;X3,汇编指令!$C$2:$D$235,2,FALSE),"-1")</f>
        <v>-1</v>
      </c>
      <c r="Y79" s="32" t="str">
        <f>_xlfn.IFNA(VLOOKUP($C79&amp;","&amp;Y3,汇编指令!$C$2:$D$235,2,FALSE),"-1")</f>
        <v>-1</v>
      </c>
      <c r="Z79" s="32" t="str">
        <f>_xlfn.IFNA(VLOOKUP($C79&amp;","&amp;Z3,汇编指令!$C$2:$D$235,2,FALSE),"-1")</f>
        <v>-1</v>
      </c>
      <c r="AA79" s="32" t="str">
        <f>_xlfn.IFNA(VLOOKUP($C79&amp;","&amp;AA3,汇编指令!$C$2:$D$235,2,FALSE),"-1")</f>
        <v>-1</v>
      </c>
      <c r="AB79" s="53" t="str">
        <f>_xlfn.IFNA(VLOOKUP($C79&amp;","&amp;AB3,汇编指令!$C$2:$D$235,2,FALSE),"-1")</f>
        <v>-1</v>
      </c>
      <c r="AC79" s="55"/>
    </row>
    <row r="80" s="7" customFormat="1" ht="20" customHeight="1" spans="1:29">
      <c r="A80" s="16">
        <v>2</v>
      </c>
      <c r="B80" s="21">
        <f t="shared" si="3"/>
        <v>76</v>
      </c>
      <c r="C80" s="24" t="s">
        <v>995</v>
      </c>
      <c r="D80" s="23" t="str">
        <f t="shared" si="4"/>
        <v>4C</v>
      </c>
      <c r="E80" s="31" t="str">
        <f>_xlfn.IFNA(VLOOKUP($C80&amp;","&amp;E3,汇编指令!$C$2:$D$235,2,FALSE),"-1")</f>
        <v>F8</v>
      </c>
      <c r="F80" s="32" t="str">
        <f>_xlfn.IFNA(VLOOKUP($C80&amp;","&amp;F3,汇编指令!$C$2:$D$235,2,FALSE),"-1")</f>
        <v>-1</v>
      </c>
      <c r="G80" s="32" t="str">
        <f>_xlfn.IFNA(VLOOKUP($C80&amp;","&amp;G3,汇编指令!$C$2:$D$235,2,FALSE),"-1")</f>
        <v>-1</v>
      </c>
      <c r="H80" s="32" t="str">
        <f>_xlfn.IFNA(VLOOKUP($C80&amp;","&amp;H3,汇编指令!$C$2:$D$235,2,FALSE),"-1")</f>
        <v>-1</v>
      </c>
      <c r="I80" s="32" t="str">
        <f>_xlfn.IFNA(VLOOKUP($C80&amp;","&amp;I3,汇编指令!$C$2:$D$235,2,FALSE),"-1")</f>
        <v>-1</v>
      </c>
      <c r="J80" s="32" t="str">
        <f>_xlfn.IFNA(VLOOKUP($C80&amp;","&amp;J3,汇编指令!$C$2:$D$235,2,FALSE),"-1")</f>
        <v>-1</v>
      </c>
      <c r="K80" s="32" t="str">
        <f>_xlfn.IFNA(VLOOKUP($C80&amp;","&amp;K3,汇编指令!$C$2:$D$235,2,FALSE),"-1")</f>
        <v>-1</v>
      </c>
      <c r="L80" s="32" t="str">
        <f>_xlfn.IFNA(VLOOKUP($C80&amp;","&amp;L3,汇编指令!$C$2:$D$235,2,FALSE),"-1")</f>
        <v>-1</v>
      </c>
      <c r="M80" s="32" t="str">
        <f>_xlfn.IFNA(VLOOKUP($C80&amp;","&amp;M3,汇编指令!$C$2:$D$235,2,FALSE),"-1")</f>
        <v>-1</v>
      </c>
      <c r="N80" s="33" t="str">
        <f>_xlfn.IFNA(VLOOKUP($C80&amp;","&amp;N3,汇编指令!$C$2:$D$235,2,FALSE),"-1")</f>
        <v>78</v>
      </c>
      <c r="O80" s="33" t="str">
        <f>_xlfn.IFNA(VLOOKUP($C80&amp;","&amp;O3,汇编指令!$C$2:$D$235,2,FALSE),"-1")</f>
        <v>A8</v>
      </c>
      <c r="P80" s="32" t="str">
        <f>_xlfn.IFNA(VLOOKUP($C80&amp;","&amp;P3,汇编指令!$C$2:$D$235,2,FALSE),"-1")</f>
        <v>-1</v>
      </c>
      <c r="Q80" s="32" t="str">
        <f>_xlfn.IFNA(VLOOKUP($C80&amp;","&amp;Q3,汇编指令!$C$2:$D$235,2,FALSE),"-1")</f>
        <v>-1</v>
      </c>
      <c r="R80" s="32" t="str">
        <f>_xlfn.IFNA(VLOOKUP($C80&amp;","&amp;R3,汇编指令!$C$2:$D$235,2,FALSE),"-1")</f>
        <v>-1</v>
      </c>
      <c r="S80" s="32" t="str">
        <f>_xlfn.IFNA(VLOOKUP($C80&amp;","&amp;S3,汇编指令!$C$2:$D$235,2,FALSE),"-1")</f>
        <v>-1</v>
      </c>
      <c r="T80" s="32" t="str">
        <f>_xlfn.IFNA(VLOOKUP($C80&amp;","&amp;T3,汇编指令!$C$2:$D$235,2,FALSE),"-1")</f>
        <v>-1</v>
      </c>
      <c r="U80" s="32" t="str">
        <f>_xlfn.IFNA(VLOOKUP($C80&amp;","&amp;U3,汇编指令!$C$2:$D$235,2,FALSE),"-1")</f>
        <v>-1</v>
      </c>
      <c r="V80" s="32" t="str">
        <f>_xlfn.IFNA(VLOOKUP($C80&amp;","&amp;V3,汇编指令!$C$2:$D$235,2,FALSE),"-1")</f>
        <v>-1</v>
      </c>
      <c r="W80" s="32" t="str">
        <f>_xlfn.IFNA(VLOOKUP($C80&amp;","&amp;W3,汇编指令!$C$2:$D$235,2,FALSE),"-1")</f>
        <v>-1</v>
      </c>
      <c r="X80" s="32" t="str">
        <f>_xlfn.IFNA(VLOOKUP($C80&amp;","&amp;X3,汇编指令!$C$2:$D$235,2,FALSE),"-1")</f>
        <v>-1</v>
      </c>
      <c r="Y80" s="32" t="str">
        <f>_xlfn.IFNA(VLOOKUP($C80&amp;","&amp;Y3,汇编指令!$C$2:$D$235,2,FALSE),"-1")</f>
        <v>-1</v>
      </c>
      <c r="Z80" s="32" t="str">
        <f>_xlfn.IFNA(VLOOKUP($C80&amp;","&amp;Z3,汇编指令!$C$2:$D$235,2,FALSE),"-1")</f>
        <v>-1</v>
      </c>
      <c r="AA80" s="32" t="str">
        <f>_xlfn.IFNA(VLOOKUP($C80&amp;","&amp;AA3,汇编指令!$C$2:$D$235,2,FALSE),"-1")</f>
        <v>-1</v>
      </c>
      <c r="AB80" s="53" t="str">
        <f>_xlfn.IFNA(VLOOKUP($C80&amp;","&amp;AB3,汇编指令!$C$2:$D$235,2,FALSE),"-1")</f>
        <v>-1</v>
      </c>
      <c r="AC80" s="55"/>
    </row>
    <row r="81" ht="20" customHeight="1" spans="1:28">
      <c r="A81" s="16">
        <v>2</v>
      </c>
      <c r="B81" s="21">
        <f t="shared" si="3"/>
        <v>77</v>
      </c>
      <c r="C81" s="24" t="s">
        <v>996</v>
      </c>
      <c r="D81" s="23" t="str">
        <f t="shared" si="4"/>
        <v>4D</v>
      </c>
      <c r="E81" s="31" t="str">
        <f>_xlfn.IFNA(VLOOKUP($C81&amp;","&amp;E3,汇编指令!$C$2:$D$235,2,FALSE),"-1")</f>
        <v>F9</v>
      </c>
      <c r="F81" s="32" t="str">
        <f>_xlfn.IFNA(VLOOKUP($C81&amp;","&amp;F3,汇编指令!$C$2:$D$235,2,FALSE),"-1")</f>
        <v>-1</v>
      </c>
      <c r="G81" s="32" t="str">
        <f>_xlfn.IFNA(VLOOKUP($C81&amp;","&amp;G3,汇编指令!$C$2:$D$235,2,FALSE),"-1")</f>
        <v>-1</v>
      </c>
      <c r="H81" s="32" t="str">
        <f>_xlfn.IFNA(VLOOKUP($C81&amp;","&amp;H3,汇编指令!$C$2:$D$235,2,FALSE),"-1")</f>
        <v>-1</v>
      </c>
      <c r="I81" s="32" t="str">
        <f>_xlfn.IFNA(VLOOKUP($C81&amp;","&amp;I3,汇编指令!$C$2:$D$235,2,FALSE),"-1")</f>
        <v>-1</v>
      </c>
      <c r="J81" s="32" t="str">
        <f>_xlfn.IFNA(VLOOKUP($C81&amp;","&amp;J3,汇编指令!$C$2:$D$235,2,FALSE),"-1")</f>
        <v>-1</v>
      </c>
      <c r="K81" s="32" t="str">
        <f>_xlfn.IFNA(VLOOKUP($C81&amp;","&amp;K3,汇编指令!$C$2:$D$235,2,FALSE),"-1")</f>
        <v>-1</v>
      </c>
      <c r="L81" s="32" t="str">
        <f>_xlfn.IFNA(VLOOKUP($C81&amp;","&amp;L3,汇编指令!$C$2:$D$235,2,FALSE),"-1")</f>
        <v>-1</v>
      </c>
      <c r="M81" s="32" t="str">
        <f>_xlfn.IFNA(VLOOKUP($C81&amp;","&amp;M3,汇编指令!$C$2:$D$235,2,FALSE),"-1")</f>
        <v>-1</v>
      </c>
      <c r="N81" s="33" t="str">
        <f>_xlfn.IFNA(VLOOKUP($C81&amp;","&amp;N3,汇编指令!$C$2:$D$235,2,FALSE),"-1")</f>
        <v>79</v>
      </c>
      <c r="O81" s="33" t="str">
        <f>_xlfn.IFNA(VLOOKUP($C81&amp;","&amp;O3,汇编指令!$C$2:$D$235,2,FALSE),"-1")</f>
        <v>A9</v>
      </c>
      <c r="P81" s="32" t="str">
        <f>_xlfn.IFNA(VLOOKUP($C81&amp;","&amp;P3,汇编指令!$C$2:$D$235,2,FALSE),"-1")</f>
        <v>-1</v>
      </c>
      <c r="Q81" s="32" t="str">
        <f>_xlfn.IFNA(VLOOKUP($C81&amp;","&amp;Q3,汇编指令!$C$2:$D$235,2,FALSE),"-1")</f>
        <v>-1</v>
      </c>
      <c r="R81" s="32" t="str">
        <f>_xlfn.IFNA(VLOOKUP($C81&amp;","&amp;R3,汇编指令!$C$2:$D$235,2,FALSE),"-1")</f>
        <v>-1</v>
      </c>
      <c r="S81" s="32" t="str">
        <f>_xlfn.IFNA(VLOOKUP($C81&amp;","&amp;S3,汇编指令!$C$2:$D$235,2,FALSE),"-1")</f>
        <v>-1</v>
      </c>
      <c r="T81" s="32" t="str">
        <f>_xlfn.IFNA(VLOOKUP($C81&amp;","&amp;T3,汇编指令!$C$2:$D$235,2,FALSE),"-1")</f>
        <v>-1</v>
      </c>
      <c r="U81" s="32" t="str">
        <f>_xlfn.IFNA(VLOOKUP($C81&amp;","&amp;U3,汇编指令!$C$2:$D$235,2,FALSE),"-1")</f>
        <v>-1</v>
      </c>
      <c r="V81" s="32" t="str">
        <f>_xlfn.IFNA(VLOOKUP($C81&amp;","&amp;V3,汇编指令!$C$2:$D$235,2,FALSE),"-1")</f>
        <v>-1</v>
      </c>
      <c r="W81" s="32" t="str">
        <f>_xlfn.IFNA(VLOOKUP($C81&amp;","&amp;W3,汇编指令!$C$2:$D$235,2,FALSE),"-1")</f>
        <v>-1</v>
      </c>
      <c r="X81" s="32" t="str">
        <f>_xlfn.IFNA(VLOOKUP($C81&amp;","&amp;X3,汇编指令!$C$2:$D$235,2,FALSE),"-1")</f>
        <v>-1</v>
      </c>
      <c r="Y81" s="32" t="str">
        <f>_xlfn.IFNA(VLOOKUP($C81&amp;","&amp;Y3,汇编指令!$C$2:$D$235,2,FALSE),"-1")</f>
        <v>-1</v>
      </c>
      <c r="Z81" s="32" t="str">
        <f>_xlfn.IFNA(VLOOKUP($C81&amp;","&amp;Z3,汇编指令!$C$2:$D$235,2,FALSE),"-1")</f>
        <v>-1</v>
      </c>
      <c r="AA81" s="32" t="str">
        <f>_xlfn.IFNA(VLOOKUP($C81&amp;","&amp;AA3,汇编指令!$C$2:$D$235,2,FALSE),"-1")</f>
        <v>-1</v>
      </c>
      <c r="AB81" s="53" t="str">
        <f>_xlfn.IFNA(VLOOKUP($C81&amp;","&amp;AB3,汇编指令!$C$2:$D$235,2,FALSE),"-1")</f>
        <v>-1</v>
      </c>
    </row>
    <row r="82" ht="20" customHeight="1" spans="1:28">
      <c r="A82" s="16">
        <v>2</v>
      </c>
      <c r="B82" s="21">
        <f t="shared" si="3"/>
        <v>78</v>
      </c>
      <c r="C82" s="24" t="s">
        <v>997</v>
      </c>
      <c r="D82" s="23" t="str">
        <f t="shared" si="4"/>
        <v>4E</v>
      </c>
      <c r="E82" s="31" t="str">
        <f>_xlfn.IFNA(VLOOKUP($C82&amp;","&amp;E3,汇编指令!$C$2:$D$235,2,FALSE),"-1")</f>
        <v>FA</v>
      </c>
      <c r="F82" s="32" t="str">
        <f>_xlfn.IFNA(VLOOKUP($C82&amp;","&amp;F3,汇编指令!$C$2:$D$235,2,FALSE),"-1")</f>
        <v>-1</v>
      </c>
      <c r="G82" s="32" t="str">
        <f>_xlfn.IFNA(VLOOKUP($C82&amp;","&amp;G3,汇编指令!$C$2:$D$235,2,FALSE),"-1")</f>
        <v>-1</v>
      </c>
      <c r="H82" s="32" t="str">
        <f>_xlfn.IFNA(VLOOKUP($C82&amp;","&amp;H3,汇编指令!$C$2:$D$235,2,FALSE),"-1")</f>
        <v>-1</v>
      </c>
      <c r="I82" s="32" t="str">
        <f>_xlfn.IFNA(VLOOKUP($C82&amp;","&amp;I3,汇编指令!$C$2:$D$235,2,FALSE),"-1")</f>
        <v>-1</v>
      </c>
      <c r="J82" s="32" t="str">
        <f>_xlfn.IFNA(VLOOKUP($C82&amp;","&amp;J3,汇编指令!$C$2:$D$235,2,FALSE),"-1")</f>
        <v>-1</v>
      </c>
      <c r="K82" s="32" t="str">
        <f>_xlfn.IFNA(VLOOKUP($C82&amp;","&amp;K3,汇编指令!$C$2:$D$235,2,FALSE),"-1")</f>
        <v>-1</v>
      </c>
      <c r="L82" s="32" t="str">
        <f>_xlfn.IFNA(VLOOKUP($C82&amp;","&amp;L3,汇编指令!$C$2:$D$235,2,FALSE),"-1")</f>
        <v>-1</v>
      </c>
      <c r="M82" s="32" t="str">
        <f>_xlfn.IFNA(VLOOKUP($C82&amp;","&amp;M3,汇编指令!$C$2:$D$235,2,FALSE),"-1")</f>
        <v>-1</v>
      </c>
      <c r="N82" s="33" t="str">
        <f>_xlfn.IFNA(VLOOKUP($C82&amp;","&amp;N3,汇编指令!$C$2:$D$235,2,FALSE),"-1")</f>
        <v>7A</v>
      </c>
      <c r="O82" s="33" t="str">
        <f>_xlfn.IFNA(VLOOKUP($C82&amp;","&amp;O3,汇编指令!$C$2:$D$235,2,FALSE),"-1")</f>
        <v>AA</v>
      </c>
      <c r="P82" s="32" t="str">
        <f>_xlfn.IFNA(VLOOKUP($C82&amp;","&amp;P3,汇编指令!$C$2:$D$235,2,FALSE),"-1")</f>
        <v>-1</v>
      </c>
      <c r="Q82" s="32" t="str">
        <f>_xlfn.IFNA(VLOOKUP($C82&amp;","&amp;Q3,汇编指令!$C$2:$D$235,2,FALSE),"-1")</f>
        <v>-1</v>
      </c>
      <c r="R82" s="32" t="str">
        <f>_xlfn.IFNA(VLOOKUP($C82&amp;","&amp;R3,汇编指令!$C$2:$D$235,2,FALSE),"-1")</f>
        <v>-1</v>
      </c>
      <c r="S82" s="32" t="str">
        <f>_xlfn.IFNA(VLOOKUP($C82&amp;","&amp;S3,汇编指令!$C$2:$D$235,2,FALSE),"-1")</f>
        <v>-1</v>
      </c>
      <c r="T82" s="32" t="str">
        <f>_xlfn.IFNA(VLOOKUP($C82&amp;","&amp;T3,汇编指令!$C$2:$D$235,2,FALSE),"-1")</f>
        <v>-1</v>
      </c>
      <c r="U82" s="32" t="str">
        <f>_xlfn.IFNA(VLOOKUP($C82&amp;","&amp;U3,汇编指令!$C$2:$D$235,2,FALSE),"-1")</f>
        <v>-1</v>
      </c>
      <c r="V82" s="32" t="str">
        <f>_xlfn.IFNA(VLOOKUP($C82&amp;","&amp;V3,汇编指令!$C$2:$D$235,2,FALSE),"-1")</f>
        <v>-1</v>
      </c>
      <c r="W82" s="32" t="str">
        <f>_xlfn.IFNA(VLOOKUP($C82&amp;","&amp;W3,汇编指令!$C$2:$D$235,2,FALSE),"-1")</f>
        <v>-1</v>
      </c>
      <c r="X82" s="32" t="str">
        <f>_xlfn.IFNA(VLOOKUP($C82&amp;","&amp;X3,汇编指令!$C$2:$D$235,2,FALSE),"-1")</f>
        <v>-1</v>
      </c>
      <c r="Y82" s="32" t="str">
        <f>_xlfn.IFNA(VLOOKUP($C82&amp;","&amp;Y3,汇编指令!$C$2:$D$235,2,FALSE),"-1")</f>
        <v>-1</v>
      </c>
      <c r="Z82" s="32" t="str">
        <f>_xlfn.IFNA(VLOOKUP($C82&amp;","&amp;Z3,汇编指令!$C$2:$D$235,2,FALSE),"-1")</f>
        <v>-1</v>
      </c>
      <c r="AA82" s="32" t="str">
        <f>_xlfn.IFNA(VLOOKUP($C82&amp;","&amp;AA3,汇编指令!$C$2:$D$235,2,FALSE),"-1")</f>
        <v>-1</v>
      </c>
      <c r="AB82" s="53" t="str">
        <f>_xlfn.IFNA(VLOOKUP($C82&amp;","&amp;AB3,汇编指令!$C$2:$D$235,2,FALSE),"-1")</f>
        <v>-1</v>
      </c>
    </row>
    <row r="83" ht="20" customHeight="1" spans="1:28">
      <c r="A83" s="16">
        <v>2</v>
      </c>
      <c r="B83" s="21">
        <f t="shared" si="3"/>
        <v>79</v>
      </c>
      <c r="C83" s="24" t="s">
        <v>998</v>
      </c>
      <c r="D83" s="23" t="str">
        <f t="shared" si="4"/>
        <v>4F</v>
      </c>
      <c r="E83" s="31" t="str">
        <f>_xlfn.IFNA(VLOOKUP($C83&amp;","&amp;E3,汇编指令!$C$2:$D$235,2,FALSE),"-1")</f>
        <v>FB</v>
      </c>
      <c r="F83" s="32" t="str">
        <f>_xlfn.IFNA(VLOOKUP($C83&amp;","&amp;F3,汇编指令!$C$2:$D$235,2,FALSE),"-1")</f>
        <v>-1</v>
      </c>
      <c r="G83" s="32" t="str">
        <f>_xlfn.IFNA(VLOOKUP($C83&amp;","&amp;G3,汇编指令!$C$2:$D$235,2,FALSE),"-1")</f>
        <v>-1</v>
      </c>
      <c r="H83" s="32" t="str">
        <f>_xlfn.IFNA(VLOOKUP($C83&amp;","&amp;H3,汇编指令!$C$2:$D$235,2,FALSE),"-1")</f>
        <v>-1</v>
      </c>
      <c r="I83" s="32" t="str">
        <f>_xlfn.IFNA(VLOOKUP($C83&amp;","&amp;I3,汇编指令!$C$2:$D$235,2,FALSE),"-1")</f>
        <v>-1</v>
      </c>
      <c r="J83" s="32" t="str">
        <f>_xlfn.IFNA(VLOOKUP($C83&amp;","&amp;J3,汇编指令!$C$2:$D$235,2,FALSE),"-1")</f>
        <v>-1</v>
      </c>
      <c r="K83" s="32" t="str">
        <f>_xlfn.IFNA(VLOOKUP($C83&amp;","&amp;K3,汇编指令!$C$2:$D$235,2,FALSE),"-1")</f>
        <v>-1</v>
      </c>
      <c r="L83" s="32" t="str">
        <f>_xlfn.IFNA(VLOOKUP($C83&amp;","&amp;L3,汇编指令!$C$2:$D$235,2,FALSE),"-1")</f>
        <v>-1</v>
      </c>
      <c r="M83" s="32" t="str">
        <f>_xlfn.IFNA(VLOOKUP($C83&amp;","&amp;M3,汇编指令!$C$2:$D$235,2,FALSE),"-1")</f>
        <v>-1</v>
      </c>
      <c r="N83" s="33" t="str">
        <f>_xlfn.IFNA(VLOOKUP($C83&amp;","&amp;N3,汇编指令!$C$2:$D$235,2,FALSE),"-1")</f>
        <v>7B</v>
      </c>
      <c r="O83" s="33" t="str">
        <f>_xlfn.IFNA(VLOOKUP($C83&amp;","&amp;O3,汇编指令!$C$2:$D$235,2,FALSE),"-1")</f>
        <v>AB</v>
      </c>
      <c r="P83" s="32" t="str">
        <f>_xlfn.IFNA(VLOOKUP($C83&amp;","&amp;P3,汇编指令!$C$2:$D$235,2,FALSE),"-1")</f>
        <v>-1</v>
      </c>
      <c r="Q83" s="32" t="str">
        <f>_xlfn.IFNA(VLOOKUP($C83&amp;","&amp;Q3,汇编指令!$C$2:$D$235,2,FALSE),"-1")</f>
        <v>-1</v>
      </c>
      <c r="R83" s="32" t="str">
        <f>_xlfn.IFNA(VLOOKUP($C83&amp;","&amp;R3,汇编指令!$C$2:$D$235,2,FALSE),"-1")</f>
        <v>-1</v>
      </c>
      <c r="S83" s="32" t="str">
        <f>_xlfn.IFNA(VLOOKUP($C83&amp;","&amp;S3,汇编指令!$C$2:$D$235,2,FALSE),"-1")</f>
        <v>-1</v>
      </c>
      <c r="T83" s="32" t="str">
        <f>_xlfn.IFNA(VLOOKUP($C83&amp;","&amp;T3,汇编指令!$C$2:$D$235,2,FALSE),"-1")</f>
        <v>-1</v>
      </c>
      <c r="U83" s="32" t="str">
        <f>_xlfn.IFNA(VLOOKUP($C83&amp;","&amp;U3,汇编指令!$C$2:$D$235,2,FALSE),"-1")</f>
        <v>-1</v>
      </c>
      <c r="V83" s="32" t="str">
        <f>_xlfn.IFNA(VLOOKUP($C83&amp;","&amp;V3,汇编指令!$C$2:$D$235,2,FALSE),"-1")</f>
        <v>-1</v>
      </c>
      <c r="W83" s="32" t="str">
        <f>_xlfn.IFNA(VLOOKUP($C83&amp;","&amp;W3,汇编指令!$C$2:$D$235,2,FALSE),"-1")</f>
        <v>-1</v>
      </c>
      <c r="X83" s="32" t="str">
        <f>_xlfn.IFNA(VLOOKUP($C83&amp;","&amp;X3,汇编指令!$C$2:$D$235,2,FALSE),"-1")</f>
        <v>-1</v>
      </c>
      <c r="Y83" s="32" t="str">
        <f>_xlfn.IFNA(VLOOKUP($C83&amp;","&amp;Y3,汇编指令!$C$2:$D$235,2,FALSE),"-1")</f>
        <v>-1</v>
      </c>
      <c r="Z83" s="32" t="str">
        <f>_xlfn.IFNA(VLOOKUP($C83&amp;","&amp;Z3,汇编指令!$C$2:$D$235,2,FALSE),"-1")</f>
        <v>-1</v>
      </c>
      <c r="AA83" s="32" t="str">
        <f>_xlfn.IFNA(VLOOKUP($C83&amp;","&amp;AA3,汇编指令!$C$2:$D$235,2,FALSE),"-1")</f>
        <v>-1</v>
      </c>
      <c r="AB83" s="53" t="str">
        <f>_xlfn.IFNA(VLOOKUP($C83&amp;","&amp;AB3,汇编指令!$C$2:$D$235,2,FALSE),"-1")</f>
        <v>-1</v>
      </c>
    </row>
    <row r="84" ht="20" customHeight="1" spans="1:28">
      <c r="A84" s="16">
        <v>2</v>
      </c>
      <c r="B84" s="21">
        <f t="shared" si="3"/>
        <v>80</v>
      </c>
      <c r="C84" s="24" t="s">
        <v>999</v>
      </c>
      <c r="D84" s="23" t="str">
        <f t="shared" si="4"/>
        <v>50</v>
      </c>
      <c r="E84" s="31" t="str">
        <f>_xlfn.IFNA(VLOOKUP($C84&amp;","&amp;E3,汇编指令!$C$2:$D$235,2,FALSE),"-1")</f>
        <v>FC</v>
      </c>
      <c r="F84" s="32" t="str">
        <f>_xlfn.IFNA(VLOOKUP($C84&amp;","&amp;F3,汇编指令!$C$2:$D$235,2,FALSE),"-1")</f>
        <v>-1</v>
      </c>
      <c r="G84" s="32" t="str">
        <f>_xlfn.IFNA(VLOOKUP($C84&amp;","&amp;G3,汇编指令!$C$2:$D$235,2,FALSE),"-1")</f>
        <v>-1</v>
      </c>
      <c r="H84" s="32" t="str">
        <f>_xlfn.IFNA(VLOOKUP($C84&amp;","&amp;H3,汇编指令!$C$2:$D$235,2,FALSE),"-1")</f>
        <v>-1</v>
      </c>
      <c r="I84" s="32" t="str">
        <f>_xlfn.IFNA(VLOOKUP($C84&amp;","&amp;I3,汇编指令!$C$2:$D$235,2,FALSE),"-1")</f>
        <v>-1</v>
      </c>
      <c r="J84" s="32" t="str">
        <f>_xlfn.IFNA(VLOOKUP($C84&amp;","&amp;J3,汇编指令!$C$2:$D$235,2,FALSE),"-1")</f>
        <v>-1</v>
      </c>
      <c r="K84" s="32" t="str">
        <f>_xlfn.IFNA(VLOOKUP($C84&amp;","&amp;K3,汇编指令!$C$2:$D$235,2,FALSE),"-1")</f>
        <v>-1</v>
      </c>
      <c r="L84" s="32" t="str">
        <f>_xlfn.IFNA(VLOOKUP($C84&amp;","&amp;L3,汇编指令!$C$2:$D$235,2,FALSE),"-1")</f>
        <v>-1</v>
      </c>
      <c r="M84" s="32" t="str">
        <f>_xlfn.IFNA(VLOOKUP($C84&amp;","&amp;M3,汇编指令!$C$2:$D$235,2,FALSE),"-1")</f>
        <v>-1</v>
      </c>
      <c r="N84" s="33" t="str">
        <f>_xlfn.IFNA(VLOOKUP($C84&amp;","&amp;N3,汇编指令!$C$2:$D$235,2,FALSE),"-1")</f>
        <v>7C</v>
      </c>
      <c r="O84" s="33" t="str">
        <f>_xlfn.IFNA(VLOOKUP($C84&amp;","&amp;O3,汇编指令!$C$2:$D$235,2,FALSE),"-1")</f>
        <v>AC</v>
      </c>
      <c r="P84" s="32" t="str">
        <f>_xlfn.IFNA(VLOOKUP($C84&amp;","&amp;P3,汇编指令!$C$2:$D$235,2,FALSE),"-1")</f>
        <v>-1</v>
      </c>
      <c r="Q84" s="32" t="str">
        <f>_xlfn.IFNA(VLOOKUP($C84&amp;","&amp;Q3,汇编指令!$C$2:$D$235,2,FALSE),"-1")</f>
        <v>-1</v>
      </c>
      <c r="R84" s="32" t="str">
        <f>_xlfn.IFNA(VLOOKUP($C84&amp;","&amp;R3,汇编指令!$C$2:$D$235,2,FALSE),"-1")</f>
        <v>-1</v>
      </c>
      <c r="S84" s="32" t="str">
        <f>_xlfn.IFNA(VLOOKUP($C84&amp;","&amp;S3,汇编指令!$C$2:$D$235,2,FALSE),"-1")</f>
        <v>-1</v>
      </c>
      <c r="T84" s="32" t="str">
        <f>_xlfn.IFNA(VLOOKUP($C84&amp;","&amp;T3,汇编指令!$C$2:$D$235,2,FALSE),"-1")</f>
        <v>-1</v>
      </c>
      <c r="U84" s="32" t="str">
        <f>_xlfn.IFNA(VLOOKUP($C84&amp;","&amp;U3,汇编指令!$C$2:$D$235,2,FALSE),"-1")</f>
        <v>-1</v>
      </c>
      <c r="V84" s="32" t="str">
        <f>_xlfn.IFNA(VLOOKUP($C84&amp;","&amp;V3,汇编指令!$C$2:$D$235,2,FALSE),"-1")</f>
        <v>-1</v>
      </c>
      <c r="W84" s="32" t="str">
        <f>_xlfn.IFNA(VLOOKUP($C84&amp;","&amp;W3,汇编指令!$C$2:$D$235,2,FALSE),"-1")</f>
        <v>-1</v>
      </c>
      <c r="X84" s="32" t="str">
        <f>_xlfn.IFNA(VLOOKUP($C84&amp;","&amp;X3,汇编指令!$C$2:$D$235,2,FALSE),"-1")</f>
        <v>-1</v>
      </c>
      <c r="Y84" s="32" t="str">
        <f>_xlfn.IFNA(VLOOKUP($C84&amp;","&amp;Y3,汇编指令!$C$2:$D$235,2,FALSE),"-1")</f>
        <v>-1</v>
      </c>
      <c r="Z84" s="32" t="str">
        <f>_xlfn.IFNA(VLOOKUP($C84&amp;","&amp;Z3,汇编指令!$C$2:$D$235,2,FALSE),"-1")</f>
        <v>-1</v>
      </c>
      <c r="AA84" s="32" t="str">
        <f>_xlfn.IFNA(VLOOKUP($C84&amp;","&amp;AA3,汇编指令!$C$2:$D$235,2,FALSE),"-1")</f>
        <v>-1</v>
      </c>
      <c r="AB84" s="53" t="str">
        <f>_xlfn.IFNA(VLOOKUP($C84&amp;","&amp;AB3,汇编指令!$C$2:$D$235,2,FALSE),"-1")</f>
        <v>-1</v>
      </c>
    </row>
    <row r="85" ht="20" customHeight="1" spans="1:28">
      <c r="A85" s="16">
        <v>2</v>
      </c>
      <c r="B85" s="21">
        <f t="shared" si="3"/>
        <v>81</v>
      </c>
      <c r="C85" s="24" t="s">
        <v>1000</v>
      </c>
      <c r="D85" s="23" t="str">
        <f t="shared" si="4"/>
        <v>51</v>
      </c>
      <c r="E85" s="31" t="str">
        <f>_xlfn.IFNA(VLOOKUP($C85&amp;","&amp;E3,汇编指令!$C$2:$D$235,2,FALSE),"-1")</f>
        <v>FD</v>
      </c>
      <c r="F85" s="32" t="str">
        <f>_xlfn.IFNA(VLOOKUP($C85&amp;","&amp;F3,汇编指令!$C$2:$D$235,2,FALSE),"-1")</f>
        <v>-1</v>
      </c>
      <c r="G85" s="32" t="str">
        <f>_xlfn.IFNA(VLOOKUP($C85&amp;","&amp;G3,汇编指令!$C$2:$D$235,2,FALSE),"-1")</f>
        <v>-1</v>
      </c>
      <c r="H85" s="32" t="str">
        <f>_xlfn.IFNA(VLOOKUP($C85&amp;","&amp;H3,汇编指令!$C$2:$D$235,2,FALSE),"-1")</f>
        <v>-1</v>
      </c>
      <c r="I85" s="32" t="str">
        <f>_xlfn.IFNA(VLOOKUP($C85&amp;","&amp;I3,汇编指令!$C$2:$D$235,2,FALSE),"-1")</f>
        <v>-1</v>
      </c>
      <c r="J85" s="32" t="str">
        <f>_xlfn.IFNA(VLOOKUP($C85&amp;","&amp;J3,汇编指令!$C$2:$D$235,2,FALSE),"-1")</f>
        <v>-1</v>
      </c>
      <c r="K85" s="32" t="str">
        <f>_xlfn.IFNA(VLOOKUP($C85&amp;","&amp;K3,汇编指令!$C$2:$D$235,2,FALSE),"-1")</f>
        <v>-1</v>
      </c>
      <c r="L85" s="32" t="str">
        <f>_xlfn.IFNA(VLOOKUP($C85&amp;","&amp;L3,汇编指令!$C$2:$D$235,2,FALSE),"-1")</f>
        <v>-1</v>
      </c>
      <c r="M85" s="32" t="str">
        <f>_xlfn.IFNA(VLOOKUP($C85&amp;","&amp;M3,汇编指令!$C$2:$D$235,2,FALSE),"-1")</f>
        <v>-1</v>
      </c>
      <c r="N85" s="33" t="str">
        <f>_xlfn.IFNA(VLOOKUP($C85&amp;","&amp;N3,汇编指令!$C$2:$D$235,2,FALSE),"-1")</f>
        <v>7D</v>
      </c>
      <c r="O85" s="33" t="str">
        <f>_xlfn.IFNA(VLOOKUP($C85&amp;","&amp;O3,汇编指令!$C$2:$D$235,2,FALSE),"-1")</f>
        <v>AD</v>
      </c>
      <c r="P85" s="32" t="str">
        <f>_xlfn.IFNA(VLOOKUP($C85&amp;","&amp;P3,汇编指令!$C$2:$D$235,2,FALSE),"-1")</f>
        <v>-1</v>
      </c>
      <c r="Q85" s="32" t="str">
        <f>_xlfn.IFNA(VLOOKUP($C85&amp;","&amp;Q3,汇编指令!$C$2:$D$235,2,FALSE),"-1")</f>
        <v>-1</v>
      </c>
      <c r="R85" s="32" t="str">
        <f>_xlfn.IFNA(VLOOKUP($C85&amp;","&amp;R3,汇编指令!$C$2:$D$235,2,FALSE),"-1")</f>
        <v>-1</v>
      </c>
      <c r="S85" s="32" t="str">
        <f>_xlfn.IFNA(VLOOKUP($C85&amp;","&amp;S3,汇编指令!$C$2:$D$235,2,FALSE),"-1")</f>
        <v>-1</v>
      </c>
      <c r="T85" s="32" t="str">
        <f>_xlfn.IFNA(VLOOKUP($C85&amp;","&amp;T3,汇编指令!$C$2:$D$235,2,FALSE),"-1")</f>
        <v>-1</v>
      </c>
      <c r="U85" s="32" t="str">
        <f>_xlfn.IFNA(VLOOKUP($C85&amp;","&amp;U3,汇编指令!$C$2:$D$235,2,FALSE),"-1")</f>
        <v>-1</v>
      </c>
      <c r="V85" s="32" t="str">
        <f>_xlfn.IFNA(VLOOKUP($C85&amp;","&amp;V3,汇编指令!$C$2:$D$235,2,FALSE),"-1")</f>
        <v>-1</v>
      </c>
      <c r="W85" s="32" t="str">
        <f>_xlfn.IFNA(VLOOKUP($C85&amp;","&amp;W3,汇编指令!$C$2:$D$235,2,FALSE),"-1")</f>
        <v>-1</v>
      </c>
      <c r="X85" s="32" t="str">
        <f>_xlfn.IFNA(VLOOKUP($C85&amp;","&amp;X3,汇编指令!$C$2:$D$235,2,FALSE),"-1")</f>
        <v>-1</v>
      </c>
      <c r="Y85" s="32" t="str">
        <f>_xlfn.IFNA(VLOOKUP($C85&amp;","&amp;Y3,汇编指令!$C$2:$D$235,2,FALSE),"-1")</f>
        <v>-1</v>
      </c>
      <c r="Z85" s="32" t="str">
        <f>_xlfn.IFNA(VLOOKUP($C85&amp;","&amp;Z3,汇编指令!$C$2:$D$235,2,FALSE),"-1")</f>
        <v>-1</v>
      </c>
      <c r="AA85" s="32" t="str">
        <f>_xlfn.IFNA(VLOOKUP($C85&amp;","&amp;AA3,汇编指令!$C$2:$D$235,2,FALSE),"-1")</f>
        <v>-1</v>
      </c>
      <c r="AB85" s="53" t="str">
        <f>_xlfn.IFNA(VLOOKUP($C85&amp;","&amp;AB3,汇编指令!$C$2:$D$235,2,FALSE),"-1")</f>
        <v>-1</v>
      </c>
    </row>
    <row r="86" ht="20" customHeight="1" spans="1:28">
      <c r="A86" s="16">
        <v>2</v>
      </c>
      <c r="B86" s="21">
        <f t="shared" si="3"/>
        <v>82</v>
      </c>
      <c r="C86" s="24" t="s">
        <v>1001</v>
      </c>
      <c r="D86" s="23" t="str">
        <f t="shared" si="4"/>
        <v>52</v>
      </c>
      <c r="E86" s="31" t="str">
        <f>_xlfn.IFNA(VLOOKUP($C86&amp;","&amp;E3,汇编指令!$C$2:$D$235,2,FALSE),"-1")</f>
        <v>FE</v>
      </c>
      <c r="F86" s="32" t="str">
        <f>_xlfn.IFNA(VLOOKUP($C86&amp;","&amp;F3,汇编指令!$C$2:$D$235,2,FALSE),"-1")</f>
        <v>-1</v>
      </c>
      <c r="G86" s="32" t="str">
        <f>_xlfn.IFNA(VLOOKUP($C86&amp;","&amp;G3,汇编指令!$C$2:$D$235,2,FALSE),"-1")</f>
        <v>-1</v>
      </c>
      <c r="H86" s="32" t="str">
        <f>_xlfn.IFNA(VLOOKUP($C86&amp;","&amp;H3,汇编指令!$C$2:$D$235,2,FALSE),"-1")</f>
        <v>-1</v>
      </c>
      <c r="I86" s="32" t="str">
        <f>_xlfn.IFNA(VLOOKUP($C86&amp;","&amp;I3,汇编指令!$C$2:$D$235,2,FALSE),"-1")</f>
        <v>-1</v>
      </c>
      <c r="J86" s="32" t="str">
        <f>_xlfn.IFNA(VLOOKUP($C86&amp;","&amp;J3,汇编指令!$C$2:$D$235,2,FALSE),"-1")</f>
        <v>-1</v>
      </c>
      <c r="K86" s="32" t="str">
        <f>_xlfn.IFNA(VLOOKUP($C86&amp;","&amp;K3,汇编指令!$C$2:$D$235,2,FALSE),"-1")</f>
        <v>-1</v>
      </c>
      <c r="L86" s="32" t="str">
        <f>_xlfn.IFNA(VLOOKUP($C86&amp;","&amp;L3,汇编指令!$C$2:$D$235,2,FALSE),"-1")</f>
        <v>-1</v>
      </c>
      <c r="M86" s="32" t="str">
        <f>_xlfn.IFNA(VLOOKUP($C86&amp;","&amp;M3,汇编指令!$C$2:$D$235,2,FALSE),"-1")</f>
        <v>-1</v>
      </c>
      <c r="N86" s="33" t="str">
        <f>_xlfn.IFNA(VLOOKUP($C86&amp;","&amp;N3,汇编指令!$C$2:$D$235,2,FALSE),"-1")</f>
        <v>7E</v>
      </c>
      <c r="O86" s="33" t="str">
        <f>_xlfn.IFNA(VLOOKUP($C86&amp;","&amp;O3,汇编指令!$C$2:$D$235,2,FALSE),"-1")</f>
        <v>AE</v>
      </c>
      <c r="P86" s="32" t="str">
        <f>_xlfn.IFNA(VLOOKUP($C86&amp;","&amp;P3,汇编指令!$C$2:$D$235,2,FALSE),"-1")</f>
        <v>-1</v>
      </c>
      <c r="Q86" s="32" t="str">
        <f>_xlfn.IFNA(VLOOKUP($C86&amp;","&amp;Q3,汇编指令!$C$2:$D$235,2,FALSE),"-1")</f>
        <v>-1</v>
      </c>
      <c r="R86" s="32" t="str">
        <f>_xlfn.IFNA(VLOOKUP($C86&amp;","&amp;R3,汇编指令!$C$2:$D$235,2,FALSE),"-1")</f>
        <v>-1</v>
      </c>
      <c r="S86" s="32" t="str">
        <f>_xlfn.IFNA(VLOOKUP($C86&amp;","&amp;S3,汇编指令!$C$2:$D$235,2,FALSE),"-1")</f>
        <v>-1</v>
      </c>
      <c r="T86" s="32" t="str">
        <f>_xlfn.IFNA(VLOOKUP($C86&amp;","&amp;T3,汇编指令!$C$2:$D$235,2,FALSE),"-1")</f>
        <v>-1</v>
      </c>
      <c r="U86" s="32" t="str">
        <f>_xlfn.IFNA(VLOOKUP($C86&amp;","&amp;U3,汇编指令!$C$2:$D$235,2,FALSE),"-1")</f>
        <v>-1</v>
      </c>
      <c r="V86" s="32" t="str">
        <f>_xlfn.IFNA(VLOOKUP($C86&amp;","&amp;V3,汇编指令!$C$2:$D$235,2,FALSE),"-1")</f>
        <v>-1</v>
      </c>
      <c r="W86" s="32" t="str">
        <f>_xlfn.IFNA(VLOOKUP($C86&amp;","&amp;W3,汇编指令!$C$2:$D$235,2,FALSE),"-1")</f>
        <v>-1</v>
      </c>
      <c r="X86" s="32" t="str">
        <f>_xlfn.IFNA(VLOOKUP($C86&amp;","&amp;X3,汇编指令!$C$2:$D$235,2,FALSE),"-1")</f>
        <v>-1</v>
      </c>
      <c r="Y86" s="32" t="str">
        <f>_xlfn.IFNA(VLOOKUP($C86&amp;","&amp;Y3,汇编指令!$C$2:$D$235,2,FALSE),"-1")</f>
        <v>-1</v>
      </c>
      <c r="Z86" s="32" t="str">
        <f>_xlfn.IFNA(VLOOKUP($C86&amp;","&amp;Z3,汇编指令!$C$2:$D$235,2,FALSE),"-1")</f>
        <v>-1</v>
      </c>
      <c r="AA86" s="32" t="str">
        <f>_xlfn.IFNA(VLOOKUP($C86&amp;","&amp;AA3,汇编指令!$C$2:$D$235,2,FALSE),"-1")</f>
        <v>-1</v>
      </c>
      <c r="AB86" s="53" t="str">
        <f>_xlfn.IFNA(VLOOKUP($C86&amp;","&amp;AB3,汇编指令!$C$2:$D$235,2,FALSE),"-1")</f>
        <v>-1</v>
      </c>
    </row>
    <row r="87" ht="20" customHeight="1" spans="1:28">
      <c r="A87" s="16">
        <v>2</v>
      </c>
      <c r="B87" s="21">
        <f t="shared" si="3"/>
        <v>83</v>
      </c>
      <c r="C87" s="24" t="s">
        <v>1002</v>
      </c>
      <c r="D87" s="23" t="str">
        <f t="shared" si="4"/>
        <v>53</v>
      </c>
      <c r="E87" s="31" t="str">
        <f>_xlfn.IFNA(VLOOKUP($C87&amp;","&amp;E3,汇编指令!$C$2:$D$235,2,FALSE),"-1")</f>
        <v>FF</v>
      </c>
      <c r="F87" s="32" t="str">
        <f>_xlfn.IFNA(VLOOKUP($C87&amp;","&amp;F3,汇编指令!$C$2:$D$235,2,FALSE),"-1")</f>
        <v>-1</v>
      </c>
      <c r="G87" s="32" t="str">
        <f>_xlfn.IFNA(VLOOKUP($C87&amp;","&amp;G3,汇编指令!$C$2:$D$235,2,FALSE),"-1")</f>
        <v>-1</v>
      </c>
      <c r="H87" s="32" t="str">
        <f>_xlfn.IFNA(VLOOKUP($C87&amp;","&amp;H3,汇编指令!$C$2:$D$235,2,FALSE),"-1")</f>
        <v>-1</v>
      </c>
      <c r="I87" s="32" t="str">
        <f>_xlfn.IFNA(VLOOKUP($C87&amp;","&amp;I3,汇编指令!$C$2:$D$235,2,FALSE),"-1")</f>
        <v>-1</v>
      </c>
      <c r="J87" s="32" t="str">
        <f>_xlfn.IFNA(VLOOKUP($C87&amp;","&amp;J3,汇编指令!$C$2:$D$235,2,FALSE),"-1")</f>
        <v>-1</v>
      </c>
      <c r="K87" s="32" t="str">
        <f>_xlfn.IFNA(VLOOKUP($C87&amp;","&amp;K3,汇编指令!$C$2:$D$235,2,FALSE),"-1")</f>
        <v>-1</v>
      </c>
      <c r="L87" s="32" t="str">
        <f>_xlfn.IFNA(VLOOKUP($C87&amp;","&amp;L3,汇编指令!$C$2:$D$235,2,FALSE),"-1")</f>
        <v>-1</v>
      </c>
      <c r="M87" s="32" t="str">
        <f>_xlfn.IFNA(VLOOKUP($C87&amp;","&amp;M3,汇编指令!$C$2:$D$235,2,FALSE),"-1")</f>
        <v>-1</v>
      </c>
      <c r="N87" s="33" t="str">
        <f>_xlfn.IFNA(VLOOKUP($C87&amp;","&amp;N3,汇编指令!$C$2:$D$235,2,FALSE),"-1")</f>
        <v>7F</v>
      </c>
      <c r="O87" s="33" t="str">
        <f>_xlfn.IFNA(VLOOKUP($C87&amp;","&amp;O3,汇编指令!$C$2:$D$235,2,FALSE),"-1")</f>
        <v>AF</v>
      </c>
      <c r="P87" s="32" t="str">
        <f>_xlfn.IFNA(VLOOKUP($C87&amp;","&amp;P3,汇编指令!$C$2:$D$235,2,FALSE),"-1")</f>
        <v>-1</v>
      </c>
      <c r="Q87" s="32" t="str">
        <f>_xlfn.IFNA(VLOOKUP($C87&amp;","&amp;Q3,汇编指令!$C$2:$D$235,2,FALSE),"-1")</f>
        <v>-1</v>
      </c>
      <c r="R87" s="32" t="str">
        <f>_xlfn.IFNA(VLOOKUP($C87&amp;","&amp;R3,汇编指令!$C$2:$D$235,2,FALSE),"-1")</f>
        <v>-1</v>
      </c>
      <c r="S87" s="32" t="str">
        <f>_xlfn.IFNA(VLOOKUP($C87&amp;","&amp;S3,汇编指令!$C$2:$D$235,2,FALSE),"-1")</f>
        <v>-1</v>
      </c>
      <c r="T87" s="32" t="str">
        <f>_xlfn.IFNA(VLOOKUP($C87&amp;","&amp;T3,汇编指令!$C$2:$D$235,2,FALSE),"-1")</f>
        <v>-1</v>
      </c>
      <c r="U87" s="32" t="str">
        <f>_xlfn.IFNA(VLOOKUP($C87&amp;","&amp;U3,汇编指令!$C$2:$D$235,2,FALSE),"-1")</f>
        <v>-1</v>
      </c>
      <c r="V87" s="32" t="str">
        <f>_xlfn.IFNA(VLOOKUP($C87&amp;","&amp;V3,汇编指令!$C$2:$D$235,2,FALSE),"-1")</f>
        <v>-1</v>
      </c>
      <c r="W87" s="32" t="str">
        <f>_xlfn.IFNA(VLOOKUP($C87&amp;","&amp;W3,汇编指令!$C$2:$D$235,2,FALSE),"-1")</f>
        <v>-1</v>
      </c>
      <c r="X87" s="32" t="str">
        <f>_xlfn.IFNA(VLOOKUP($C87&amp;","&amp;X3,汇编指令!$C$2:$D$235,2,FALSE),"-1")</f>
        <v>-1</v>
      </c>
      <c r="Y87" s="32" t="str">
        <f>_xlfn.IFNA(VLOOKUP($C87&amp;","&amp;Y3,汇编指令!$C$2:$D$235,2,FALSE),"-1")</f>
        <v>-1</v>
      </c>
      <c r="Z87" s="32" t="str">
        <f>_xlfn.IFNA(VLOOKUP($C87&amp;","&amp;Z3,汇编指令!$C$2:$D$235,2,FALSE),"-1")</f>
        <v>-1</v>
      </c>
      <c r="AA87" s="32" t="str">
        <f>_xlfn.IFNA(VLOOKUP($C87&amp;","&amp;AA3,汇编指令!$C$2:$D$235,2,FALSE),"-1")</f>
        <v>-1</v>
      </c>
      <c r="AB87" s="53" t="str">
        <f>_xlfn.IFNA(VLOOKUP($C87&amp;","&amp;AB3,汇编指令!$C$2:$D$235,2,FALSE),"-1")</f>
        <v>-1</v>
      </c>
    </row>
    <row r="88" ht="20" customHeight="1" spans="1:28">
      <c r="A88" s="16">
        <v>2</v>
      </c>
      <c r="B88" s="21">
        <f t="shared" si="3"/>
        <v>84</v>
      </c>
      <c r="C88" s="24" t="s">
        <v>1003</v>
      </c>
      <c r="D88" s="23" t="str">
        <f t="shared" si="4"/>
        <v>54</v>
      </c>
      <c r="E88" s="34" t="str">
        <f>_xlfn.IFNA(VLOOKUP($C88&amp;","&amp;E3,汇编指令!$C$2:$D$235,2,FALSE),"-1")</f>
        <v>-1</v>
      </c>
      <c r="F88" s="32" t="str">
        <f>_xlfn.IFNA(VLOOKUP($C88&amp;","&amp;F3,汇编指令!$C$2:$D$235,2,FALSE),"-1")</f>
        <v>-1</v>
      </c>
      <c r="G88" s="32" t="str">
        <f>_xlfn.IFNA(VLOOKUP($C88&amp;","&amp;G3,汇编指令!$C$2:$D$235,2,FALSE),"-1")</f>
        <v>-1</v>
      </c>
      <c r="H88" s="32" t="str">
        <f>_xlfn.IFNA(VLOOKUP($C88&amp;","&amp;H3,汇编指令!$C$2:$D$235,2,FALSE),"-1")</f>
        <v>-1</v>
      </c>
      <c r="I88" s="32" t="str">
        <f>_xlfn.IFNA(VLOOKUP($C88&amp;","&amp;I3,汇编指令!$C$2:$D$235,2,FALSE),"-1")</f>
        <v>-1</v>
      </c>
      <c r="J88" s="32" t="str">
        <f>_xlfn.IFNA(VLOOKUP($C88&amp;","&amp;J3,汇编指令!$C$2:$D$235,2,FALSE),"-1")</f>
        <v>-1</v>
      </c>
      <c r="K88" s="32" t="str">
        <f>_xlfn.IFNA(VLOOKUP($C88&amp;","&amp;K3,汇编指令!$C$2:$D$235,2,FALSE),"-1")</f>
        <v>-1</v>
      </c>
      <c r="L88" s="32" t="str">
        <f>_xlfn.IFNA(VLOOKUP($C88&amp;","&amp;L3,汇编指令!$C$2:$D$235,2,FALSE),"-1")</f>
        <v>-1</v>
      </c>
      <c r="M88" s="32" t="str">
        <f>_xlfn.IFNA(VLOOKUP($C88&amp;","&amp;M3,汇编指令!$C$2:$D$235,2,FALSE),"-1")</f>
        <v>-1</v>
      </c>
      <c r="N88" s="32" t="str">
        <f>_xlfn.IFNA(VLOOKUP($C88&amp;","&amp;N3,汇编指令!$C$2:$D$235,2,FALSE),"-1")</f>
        <v>-1</v>
      </c>
      <c r="O88" s="32" t="str">
        <f>_xlfn.IFNA(VLOOKUP($C88&amp;","&amp;O3,汇编指令!$C$2:$D$235,2,FALSE),"-1")</f>
        <v>-1</v>
      </c>
      <c r="P88" s="32" t="str">
        <f>_xlfn.IFNA(VLOOKUP($C88&amp;","&amp;P3,汇编指令!$C$2:$D$235,2,FALSE),"-1")</f>
        <v>-1</v>
      </c>
      <c r="Q88" s="32" t="str">
        <f>_xlfn.IFNA(VLOOKUP($C88&amp;","&amp;Q3,汇编指令!$C$2:$D$235,2,FALSE),"-1")</f>
        <v>-1</v>
      </c>
      <c r="R88" s="32" t="str">
        <f>_xlfn.IFNA(VLOOKUP($C88&amp;","&amp;R3,汇编指令!$C$2:$D$235,2,FALSE),"-1")</f>
        <v>-1</v>
      </c>
      <c r="S88" s="32" t="str">
        <f>_xlfn.IFNA(VLOOKUP($C88&amp;","&amp;S3,汇编指令!$C$2:$D$235,2,FALSE),"-1")</f>
        <v>-1</v>
      </c>
      <c r="T88" s="33" t="str">
        <f>_xlfn.IFNA(VLOOKUP($C88&amp;","&amp;T3,汇编指令!$C$2:$D$235,2,FALSE),"-1")</f>
        <v>83</v>
      </c>
      <c r="U88" s="33" t="str">
        <f>_xlfn.IFNA(VLOOKUP($C88&amp;","&amp;U3,汇编指令!$C$2:$D$235,2,FALSE),"-1")</f>
        <v>93</v>
      </c>
      <c r="V88" s="32" t="str">
        <f>_xlfn.IFNA(VLOOKUP($C88&amp;","&amp;V3,汇编指令!$C$2:$D$235,2,FALSE),"-1")</f>
        <v>-1</v>
      </c>
      <c r="W88" s="32" t="str">
        <f>_xlfn.IFNA(VLOOKUP($C88&amp;","&amp;W3,汇编指令!$C$2:$D$235,2,FALSE),"-1")</f>
        <v>-1</v>
      </c>
      <c r="X88" s="32" t="str">
        <f>_xlfn.IFNA(VLOOKUP($C88&amp;","&amp;X3,汇编指令!$C$2:$D$235,2,FALSE),"-1")</f>
        <v>-1</v>
      </c>
      <c r="Y88" s="32" t="str">
        <f>_xlfn.IFNA(VLOOKUP($C88&amp;","&amp;Y3,汇编指令!$C$2:$D$235,2,FALSE),"-1")</f>
        <v>-1</v>
      </c>
      <c r="Z88" s="32" t="str">
        <f>_xlfn.IFNA(VLOOKUP($C88&amp;","&amp;Z3,汇编指令!$C$2:$D$235,2,FALSE),"-1")</f>
        <v>-1</v>
      </c>
      <c r="AA88" s="32" t="str">
        <f>_xlfn.IFNA(VLOOKUP($C88&amp;","&amp;AA3,汇编指令!$C$2:$D$235,2,FALSE),"-1")</f>
        <v>-1</v>
      </c>
      <c r="AB88" s="53" t="str">
        <f>_xlfn.IFNA(VLOOKUP($C88&amp;","&amp;AB3,汇编指令!$C$2:$D$235,2,FALSE),"-1")</f>
        <v>-1</v>
      </c>
    </row>
    <row r="89" ht="20" customHeight="1" spans="1:28">
      <c r="A89" s="16">
        <v>2</v>
      </c>
      <c r="B89" s="21">
        <f t="shared" si="3"/>
        <v>85</v>
      </c>
      <c r="C89" s="24" t="s">
        <v>1004</v>
      </c>
      <c r="D89" s="23" t="str">
        <f t="shared" si="4"/>
        <v>55</v>
      </c>
      <c r="E89" s="31" t="str">
        <f>_xlfn.IFNA(VLOOKUP($C89&amp;","&amp;E3,汇编指令!$C$2:$D$235,2,FALSE),"-1")</f>
        <v>F0</v>
      </c>
      <c r="F89" s="32" t="str">
        <f>_xlfn.IFNA(VLOOKUP($C89&amp;","&amp;F3,汇编指令!$C$2:$D$235,2,FALSE),"-1")</f>
        <v>-1</v>
      </c>
      <c r="G89" s="32" t="str">
        <f>_xlfn.IFNA(VLOOKUP($C89&amp;","&amp;G3,汇编指令!$C$2:$D$235,2,FALSE),"-1")</f>
        <v>-1</v>
      </c>
      <c r="H89" s="32" t="str">
        <f>_xlfn.IFNA(VLOOKUP($C89&amp;","&amp;H3,汇编指令!$C$2:$D$235,2,FALSE),"-1")</f>
        <v>-1</v>
      </c>
      <c r="I89" s="32" t="str">
        <f>_xlfn.IFNA(VLOOKUP($C89&amp;","&amp;I3,汇编指令!$C$2:$D$235,2,FALSE),"-1")</f>
        <v>-1</v>
      </c>
      <c r="J89" s="32" t="str">
        <f>_xlfn.IFNA(VLOOKUP($C89&amp;","&amp;J3,汇编指令!$C$2:$D$235,2,FALSE),"-1")</f>
        <v>-1</v>
      </c>
      <c r="K89" s="32" t="str">
        <f>_xlfn.IFNA(VLOOKUP($C89&amp;","&amp;K3,汇编指令!$C$2:$D$235,2,FALSE),"-1")</f>
        <v>-1</v>
      </c>
      <c r="L89" s="32" t="str">
        <f>_xlfn.IFNA(VLOOKUP($C89&amp;","&amp;L3,汇编指令!$C$2:$D$235,2,FALSE),"-1")</f>
        <v>-1</v>
      </c>
      <c r="M89" s="32" t="str">
        <f>_xlfn.IFNA(VLOOKUP($C89&amp;","&amp;M3,汇编指令!$C$2:$D$235,2,FALSE),"-1")</f>
        <v>-1</v>
      </c>
      <c r="N89" s="32" t="str">
        <f>_xlfn.IFNA(VLOOKUP($C89&amp;","&amp;N3,汇编指令!$C$2:$D$235,2,FALSE),"-1")</f>
        <v>-1</v>
      </c>
      <c r="O89" s="32" t="str">
        <f>_xlfn.IFNA(VLOOKUP($C89&amp;","&amp;O3,汇编指令!$C$2:$D$235,2,FALSE),"-1")</f>
        <v>-1</v>
      </c>
      <c r="P89" s="32" t="str">
        <f>_xlfn.IFNA(VLOOKUP($C89&amp;","&amp;P3,汇编指令!$C$2:$D$235,2,FALSE),"-1")</f>
        <v>-1</v>
      </c>
      <c r="Q89" s="32" t="str">
        <f>_xlfn.IFNA(VLOOKUP($C89&amp;","&amp;Q3,汇编指令!$C$2:$D$235,2,FALSE),"-1")</f>
        <v>-1</v>
      </c>
      <c r="R89" s="32" t="str">
        <f>_xlfn.IFNA(VLOOKUP($C89&amp;","&amp;R3,汇编指令!$C$2:$D$235,2,FALSE),"-1")</f>
        <v>-1</v>
      </c>
      <c r="S89" s="32" t="str">
        <f>_xlfn.IFNA(VLOOKUP($C89&amp;","&amp;S3,汇编指令!$C$2:$D$235,2,FALSE),"-1")</f>
        <v>-1</v>
      </c>
      <c r="T89" s="32" t="str">
        <f>_xlfn.IFNA(VLOOKUP($C89&amp;","&amp;T3,汇编指令!$C$2:$D$235,2,FALSE),"-1")</f>
        <v>-1</v>
      </c>
      <c r="U89" s="32" t="str">
        <f>_xlfn.IFNA(VLOOKUP($C89&amp;","&amp;U3,汇编指令!$C$2:$D$235,2,FALSE),"-1")</f>
        <v>-1</v>
      </c>
      <c r="V89" s="32" t="str">
        <f>_xlfn.IFNA(VLOOKUP($C89&amp;","&amp;V3,汇编指令!$C$2:$D$235,2,FALSE),"-1")</f>
        <v>-1</v>
      </c>
      <c r="W89" s="32" t="str">
        <f>_xlfn.IFNA(VLOOKUP($C89&amp;","&amp;W3,汇编指令!$C$2:$D$235,2,FALSE),"-1")</f>
        <v>-1</v>
      </c>
      <c r="X89" s="32" t="str">
        <f>_xlfn.IFNA(VLOOKUP($C89&amp;","&amp;X3,汇编指令!$C$2:$D$235,2,FALSE),"-1")</f>
        <v>-1</v>
      </c>
      <c r="Y89" s="32" t="str">
        <f>_xlfn.IFNA(VLOOKUP($C89&amp;","&amp;Y3,汇编指令!$C$2:$D$235,2,FALSE),"-1")</f>
        <v>-1</v>
      </c>
      <c r="Z89" s="32" t="str">
        <f>_xlfn.IFNA(VLOOKUP($C89&amp;","&amp;Z3,汇编指令!$C$2:$D$235,2,FALSE),"-1")</f>
        <v>-1</v>
      </c>
      <c r="AA89" s="32" t="str">
        <f>_xlfn.IFNA(VLOOKUP($C89&amp;","&amp;AA3,汇编指令!$C$2:$D$235,2,FALSE),"-1")</f>
        <v>-1</v>
      </c>
      <c r="AB89" s="53" t="str">
        <f>_xlfn.IFNA(VLOOKUP($C89&amp;","&amp;AB3,汇编指令!$C$2:$D$235,2,FALSE),"-1")</f>
        <v>-1</v>
      </c>
    </row>
    <row r="90" ht="20" customHeight="1" spans="1:28">
      <c r="A90" s="16">
        <v>2</v>
      </c>
      <c r="B90" s="21">
        <f t="shared" si="3"/>
        <v>86</v>
      </c>
      <c r="C90" s="24" t="s">
        <v>1005</v>
      </c>
      <c r="D90" s="23" t="str">
        <f t="shared" si="4"/>
        <v>56</v>
      </c>
      <c r="E90" s="31" t="str">
        <f>_xlfn.IFNA(VLOOKUP($C90&amp;","&amp;E3,汇编指令!$C$2:$D$235,2,FALSE),"-1")</f>
        <v>F2</v>
      </c>
      <c r="F90" s="32" t="str">
        <f>_xlfn.IFNA(VLOOKUP($C90&amp;","&amp;F3,汇编指令!$C$2:$D$235,2,FALSE),"-1")</f>
        <v>-1</v>
      </c>
      <c r="G90" s="32" t="str">
        <f>_xlfn.IFNA(VLOOKUP($C90&amp;","&amp;G3,汇编指令!$C$2:$D$235,2,FALSE),"-1")</f>
        <v>-1</v>
      </c>
      <c r="H90" s="32" t="str">
        <f>_xlfn.IFNA(VLOOKUP($C90&amp;","&amp;H3,汇编指令!$C$2:$D$235,2,FALSE),"-1")</f>
        <v>-1</v>
      </c>
      <c r="I90" s="32" t="str">
        <f>_xlfn.IFNA(VLOOKUP($C90&amp;","&amp;I3,汇编指令!$C$2:$D$235,2,FALSE),"-1")</f>
        <v>-1</v>
      </c>
      <c r="J90" s="32" t="str">
        <f>_xlfn.IFNA(VLOOKUP($C90&amp;","&amp;J3,汇编指令!$C$2:$D$235,2,FALSE),"-1")</f>
        <v>-1</v>
      </c>
      <c r="K90" s="32" t="str">
        <f>_xlfn.IFNA(VLOOKUP($C90&amp;","&amp;K3,汇编指令!$C$2:$D$235,2,FALSE),"-1")</f>
        <v>-1</v>
      </c>
      <c r="L90" s="32" t="str">
        <f>_xlfn.IFNA(VLOOKUP($C90&amp;","&amp;L3,汇编指令!$C$2:$D$235,2,FALSE),"-1")</f>
        <v>-1</v>
      </c>
      <c r="M90" s="32" t="str">
        <f>_xlfn.IFNA(VLOOKUP($C90&amp;","&amp;M3,汇编指令!$C$2:$D$235,2,FALSE),"-1")</f>
        <v>-1</v>
      </c>
      <c r="N90" s="32" t="str">
        <f>_xlfn.IFNA(VLOOKUP($C90&amp;","&amp;N3,汇编指令!$C$2:$D$235,2,FALSE),"-1")</f>
        <v>-1</v>
      </c>
      <c r="O90" s="32" t="str">
        <f>_xlfn.IFNA(VLOOKUP($C90&amp;","&amp;O3,汇编指令!$C$2:$D$235,2,FALSE),"-1")</f>
        <v>-1</v>
      </c>
      <c r="P90" s="32" t="str">
        <f>_xlfn.IFNA(VLOOKUP($C90&amp;","&amp;P3,汇编指令!$C$2:$D$235,2,FALSE),"-1")</f>
        <v>-1</v>
      </c>
      <c r="Q90" s="32" t="str">
        <f>_xlfn.IFNA(VLOOKUP($C90&amp;","&amp;Q3,汇编指令!$C$2:$D$235,2,FALSE),"-1")</f>
        <v>-1</v>
      </c>
      <c r="R90" s="32" t="str">
        <f>_xlfn.IFNA(VLOOKUP($C90&amp;","&amp;R3,汇编指令!$C$2:$D$235,2,FALSE),"-1")</f>
        <v>-1</v>
      </c>
      <c r="S90" s="32" t="str">
        <f>_xlfn.IFNA(VLOOKUP($C90&amp;","&amp;S3,汇编指令!$C$2:$D$235,2,FALSE),"-1")</f>
        <v>-1</v>
      </c>
      <c r="T90" s="32" t="str">
        <f>_xlfn.IFNA(VLOOKUP($C90&amp;","&amp;T3,汇编指令!$C$2:$D$235,2,FALSE),"-1")</f>
        <v>-1</v>
      </c>
      <c r="U90" s="32" t="str">
        <f>_xlfn.IFNA(VLOOKUP($C90&amp;","&amp;U3,汇编指令!$C$2:$D$235,2,FALSE),"-1")</f>
        <v>-1</v>
      </c>
      <c r="V90" s="32" t="str">
        <f>_xlfn.IFNA(VLOOKUP($C90&amp;","&amp;V3,汇编指令!$C$2:$D$235,2,FALSE),"-1")</f>
        <v>-1</v>
      </c>
      <c r="W90" s="32" t="str">
        <f>_xlfn.IFNA(VLOOKUP($C90&amp;","&amp;W3,汇编指令!$C$2:$D$235,2,FALSE),"-1")</f>
        <v>-1</v>
      </c>
      <c r="X90" s="32" t="str">
        <f>_xlfn.IFNA(VLOOKUP($C90&amp;","&amp;X3,汇编指令!$C$2:$D$235,2,FALSE),"-1")</f>
        <v>-1</v>
      </c>
      <c r="Y90" s="32" t="str">
        <f>_xlfn.IFNA(VLOOKUP($C90&amp;","&amp;Y3,汇编指令!$C$2:$D$235,2,FALSE),"-1")</f>
        <v>-1</v>
      </c>
      <c r="Z90" s="32" t="str">
        <f>_xlfn.IFNA(VLOOKUP($C90&amp;","&amp;Z3,汇编指令!$C$2:$D$235,2,FALSE),"-1")</f>
        <v>-1</v>
      </c>
      <c r="AA90" s="32" t="str">
        <f>_xlfn.IFNA(VLOOKUP($C90&amp;","&amp;AA3,汇编指令!$C$2:$D$235,2,FALSE),"-1")</f>
        <v>-1</v>
      </c>
      <c r="AB90" s="53" t="str">
        <f>_xlfn.IFNA(VLOOKUP($C90&amp;","&amp;AB3,汇编指令!$C$2:$D$235,2,FALSE),"-1")</f>
        <v>-1</v>
      </c>
    </row>
    <row r="91" ht="20" customHeight="1" spans="1:28">
      <c r="A91" s="16">
        <v>2</v>
      </c>
      <c r="B91" s="21">
        <f t="shared" si="3"/>
        <v>87</v>
      </c>
      <c r="C91" s="24" t="s">
        <v>1006</v>
      </c>
      <c r="D91" s="23" t="str">
        <f t="shared" si="4"/>
        <v>57</v>
      </c>
      <c r="E91" s="31" t="str">
        <f>_xlfn.IFNA(VLOOKUP($C91&amp;","&amp;E3,汇编指令!$C$2:$D$235,2,FALSE),"-1")</f>
        <v>F3</v>
      </c>
      <c r="F91" s="32" t="str">
        <f>_xlfn.IFNA(VLOOKUP($C91&amp;","&amp;F3,汇编指令!$C$2:$D$235,2,FALSE),"-1")</f>
        <v>-1</v>
      </c>
      <c r="G91" s="32" t="str">
        <f>_xlfn.IFNA(VLOOKUP($C91&amp;","&amp;G3,汇编指令!$C$2:$D$235,2,FALSE),"-1")</f>
        <v>-1</v>
      </c>
      <c r="H91" s="32" t="str">
        <f>_xlfn.IFNA(VLOOKUP($C91&amp;","&amp;H3,汇编指令!$C$2:$D$235,2,FALSE),"-1")</f>
        <v>-1</v>
      </c>
      <c r="I91" s="32" t="str">
        <f>_xlfn.IFNA(VLOOKUP($C91&amp;","&amp;I3,汇编指令!$C$2:$D$235,2,FALSE),"-1")</f>
        <v>-1</v>
      </c>
      <c r="J91" s="32" t="str">
        <f>_xlfn.IFNA(VLOOKUP($C91&amp;","&amp;J3,汇编指令!$C$2:$D$235,2,FALSE),"-1")</f>
        <v>-1</v>
      </c>
      <c r="K91" s="32" t="str">
        <f>_xlfn.IFNA(VLOOKUP($C91&amp;","&amp;K3,汇编指令!$C$2:$D$235,2,FALSE),"-1")</f>
        <v>-1</v>
      </c>
      <c r="L91" s="32" t="str">
        <f>_xlfn.IFNA(VLOOKUP($C91&amp;","&amp;L3,汇编指令!$C$2:$D$235,2,FALSE),"-1")</f>
        <v>-1</v>
      </c>
      <c r="M91" s="32" t="str">
        <f>_xlfn.IFNA(VLOOKUP($C91&amp;","&amp;M3,汇编指令!$C$2:$D$235,2,FALSE),"-1")</f>
        <v>-1</v>
      </c>
      <c r="N91" s="32" t="str">
        <f>_xlfn.IFNA(VLOOKUP($C91&amp;","&amp;N3,汇编指令!$C$2:$D$235,2,FALSE),"-1")</f>
        <v>-1</v>
      </c>
      <c r="O91" s="32" t="str">
        <f>_xlfn.IFNA(VLOOKUP($C91&amp;","&amp;O3,汇编指令!$C$2:$D$235,2,FALSE),"-1")</f>
        <v>-1</v>
      </c>
      <c r="P91" s="32" t="str">
        <f>_xlfn.IFNA(VLOOKUP($C91&amp;","&amp;P3,汇编指令!$C$2:$D$235,2,FALSE),"-1")</f>
        <v>-1</v>
      </c>
      <c r="Q91" s="32" t="str">
        <f>_xlfn.IFNA(VLOOKUP($C91&amp;","&amp;Q3,汇编指令!$C$2:$D$235,2,FALSE),"-1")</f>
        <v>-1</v>
      </c>
      <c r="R91" s="32" t="str">
        <f>_xlfn.IFNA(VLOOKUP($C91&amp;","&amp;R3,汇编指令!$C$2:$D$235,2,FALSE),"-1")</f>
        <v>-1</v>
      </c>
      <c r="S91" s="32" t="str">
        <f>_xlfn.IFNA(VLOOKUP($C91&amp;","&amp;S3,汇编指令!$C$2:$D$235,2,FALSE),"-1")</f>
        <v>-1</v>
      </c>
      <c r="T91" s="32" t="str">
        <f>_xlfn.IFNA(VLOOKUP($C91&amp;","&amp;T3,汇编指令!$C$2:$D$235,2,FALSE),"-1")</f>
        <v>-1</v>
      </c>
      <c r="U91" s="32" t="str">
        <f>_xlfn.IFNA(VLOOKUP($C91&amp;","&amp;U3,汇编指令!$C$2:$D$235,2,FALSE),"-1")</f>
        <v>-1</v>
      </c>
      <c r="V91" s="32" t="str">
        <f>_xlfn.IFNA(VLOOKUP($C91&amp;","&amp;V3,汇编指令!$C$2:$D$235,2,FALSE),"-1")</f>
        <v>-1</v>
      </c>
      <c r="W91" s="32" t="str">
        <f>_xlfn.IFNA(VLOOKUP($C91&amp;","&amp;W3,汇编指令!$C$2:$D$235,2,FALSE),"-1")</f>
        <v>-1</v>
      </c>
      <c r="X91" s="32" t="str">
        <f>_xlfn.IFNA(VLOOKUP($C91&amp;","&amp;X3,汇编指令!$C$2:$D$235,2,FALSE),"-1")</f>
        <v>-1</v>
      </c>
      <c r="Y91" s="32" t="str">
        <f>_xlfn.IFNA(VLOOKUP($C91&amp;","&amp;Y3,汇编指令!$C$2:$D$235,2,FALSE),"-1")</f>
        <v>-1</v>
      </c>
      <c r="Z91" s="32" t="str">
        <f>_xlfn.IFNA(VLOOKUP($C91&amp;","&amp;Z3,汇编指令!$C$2:$D$235,2,FALSE),"-1")</f>
        <v>-1</v>
      </c>
      <c r="AA91" s="32" t="str">
        <f>_xlfn.IFNA(VLOOKUP($C91&amp;","&amp;AA3,汇编指令!$C$2:$D$235,2,FALSE),"-1")</f>
        <v>-1</v>
      </c>
      <c r="AB91" s="53" t="str">
        <f>_xlfn.IFNA(VLOOKUP($C91&amp;","&amp;AB3,汇编指令!$C$2:$D$235,2,FALSE),"-1")</f>
        <v>-1</v>
      </c>
    </row>
    <row r="92" ht="20" customHeight="1" spans="1:28">
      <c r="A92" s="16">
        <v>2</v>
      </c>
      <c r="B92" s="21">
        <f t="shared" si="3"/>
        <v>88</v>
      </c>
      <c r="C92" s="24" t="s">
        <v>1007</v>
      </c>
      <c r="D92" s="23" t="str">
        <f t="shared" si="4"/>
        <v>58</v>
      </c>
      <c r="E92" s="34" t="str">
        <f>_xlfn.IFNA(VLOOKUP($C92&amp;","&amp;E3,汇编指令!$C$2:$D$235,2,FALSE),"-1")</f>
        <v>-1</v>
      </c>
      <c r="F92" s="32" t="str">
        <f>_xlfn.IFNA(VLOOKUP($C92&amp;","&amp;F3,汇编指令!$C$2:$D$235,2,FALSE),"-1")</f>
        <v>-1</v>
      </c>
      <c r="G92" s="32" t="str">
        <f>_xlfn.IFNA(VLOOKUP($C92&amp;","&amp;G3,汇编指令!$C$2:$D$235,2,FALSE),"-1")</f>
        <v>-1</v>
      </c>
      <c r="H92" s="32" t="str">
        <f>_xlfn.IFNA(VLOOKUP($C92&amp;","&amp;H3,汇编指令!$C$2:$D$235,2,FALSE),"-1")</f>
        <v>-1</v>
      </c>
      <c r="I92" s="32" t="str">
        <f>_xlfn.IFNA(VLOOKUP($C92&amp;","&amp;I3,汇编指令!$C$2:$D$235,2,FALSE),"-1")</f>
        <v>-1</v>
      </c>
      <c r="J92" s="32" t="str">
        <f>_xlfn.IFNA(VLOOKUP($C92&amp;","&amp;J3,汇编指令!$C$2:$D$235,2,FALSE),"-1")</f>
        <v>-1</v>
      </c>
      <c r="K92" s="32" t="str">
        <f>_xlfn.IFNA(VLOOKUP($C92&amp;","&amp;K3,汇编指令!$C$2:$D$235,2,FALSE),"-1")</f>
        <v>-1</v>
      </c>
      <c r="L92" s="32" t="str">
        <f>_xlfn.IFNA(VLOOKUP($C92&amp;","&amp;L3,汇编指令!$C$2:$D$235,2,FALSE),"-1")</f>
        <v>-1</v>
      </c>
      <c r="M92" s="32" t="str">
        <f>_xlfn.IFNA(VLOOKUP($C92&amp;","&amp;M3,汇编指令!$C$2:$D$235,2,FALSE),"-1")</f>
        <v>-1</v>
      </c>
      <c r="N92" s="32" t="str">
        <f>_xlfn.IFNA(VLOOKUP($C92&amp;","&amp;N3,汇编指令!$C$2:$D$235,2,FALSE),"-1")</f>
        <v>-1</v>
      </c>
      <c r="O92" s="32" t="str">
        <f>_xlfn.IFNA(VLOOKUP($C92&amp;","&amp;O3,汇编指令!$C$2:$D$235,2,FALSE),"-1")</f>
        <v>-1</v>
      </c>
      <c r="P92" s="33" t="str">
        <f>_xlfn.IFNA(VLOOKUP($C92&amp;","&amp;P3,汇编指令!$C$2:$D$235,2,FALSE),"-1")</f>
        <v>E2</v>
      </c>
      <c r="Q92" s="33" t="str">
        <f>_xlfn.IFNA(VLOOKUP($C92&amp;","&amp;Q3,汇编指令!$C$2:$D$235,2,FALSE),"-1")</f>
        <v>E3</v>
      </c>
      <c r="R92" s="32" t="str">
        <f>_xlfn.IFNA(VLOOKUP($C92&amp;","&amp;R3,汇编指令!$C$2:$D$235,2,FALSE),"-1")</f>
        <v>-1</v>
      </c>
      <c r="S92" s="32" t="str">
        <f>_xlfn.IFNA(VLOOKUP($C92&amp;","&amp;S3,汇编指令!$C$2:$D$235,2,FALSE),"-1")</f>
        <v>-1</v>
      </c>
      <c r="T92" s="32" t="str">
        <f>_xlfn.IFNA(VLOOKUP($C92&amp;","&amp;T3,汇编指令!$C$2:$D$235,2,FALSE),"-1")</f>
        <v>-1</v>
      </c>
      <c r="U92" s="32" t="str">
        <f>_xlfn.IFNA(VLOOKUP($C92&amp;","&amp;U3,汇编指令!$C$2:$D$235,2,FALSE),"-1")</f>
        <v>-1</v>
      </c>
      <c r="V92" s="33" t="str">
        <f>_xlfn.IFNA(VLOOKUP($C92&amp;","&amp;V3,汇编指令!$C$2:$D$235,2,FALSE),"-1")</f>
        <v>E0</v>
      </c>
      <c r="W92" s="32" t="str">
        <f>_xlfn.IFNA(VLOOKUP($C92&amp;","&amp;W3,汇编指令!$C$2:$D$235,2,FALSE),"-1")</f>
        <v>-1</v>
      </c>
      <c r="X92" s="32" t="str">
        <f>_xlfn.IFNA(VLOOKUP($C92&amp;","&amp;X3,汇编指令!$C$2:$D$235,2,FALSE),"-1")</f>
        <v>-1</v>
      </c>
      <c r="Y92" s="32" t="str">
        <f>_xlfn.IFNA(VLOOKUP($C92&amp;","&amp;Y3,汇编指令!$C$2:$D$235,2,FALSE),"-1")</f>
        <v>-1</v>
      </c>
      <c r="Z92" s="32" t="str">
        <f>_xlfn.IFNA(VLOOKUP($C92&amp;","&amp;Z3,汇编指令!$C$2:$D$235,2,FALSE),"-1")</f>
        <v>-1</v>
      </c>
      <c r="AA92" s="32" t="str">
        <f>_xlfn.IFNA(VLOOKUP($C92&amp;","&amp;AA3,汇编指令!$C$2:$D$235,2,FALSE),"-1")</f>
        <v>-1</v>
      </c>
      <c r="AB92" s="53" t="str">
        <f>_xlfn.IFNA(VLOOKUP($C92&amp;","&amp;AB3,汇编指令!$C$2:$D$235,2,FALSE),"-1")</f>
        <v>-1</v>
      </c>
    </row>
    <row r="93" ht="20" customHeight="1" spans="1:28">
      <c r="A93" s="16">
        <v>2</v>
      </c>
      <c r="B93" s="21">
        <f t="shared" si="3"/>
        <v>89</v>
      </c>
      <c r="C93" s="24" t="s">
        <v>1008</v>
      </c>
      <c r="D93" s="23" t="str">
        <f t="shared" si="4"/>
        <v>59</v>
      </c>
      <c r="E93" s="34" t="str">
        <f>_xlfn.IFNA(VLOOKUP($C93&amp;","&amp;E3,汇编指令!$C$2:$D$235,2,FALSE),"-1")</f>
        <v>-1</v>
      </c>
      <c r="F93" s="33" t="str">
        <f>_xlfn.IFNA(VLOOKUP($C93&amp;","&amp;F3,汇编指令!$C$2:$D$235,2,FALSE),"-1")</f>
        <v>48</v>
      </c>
      <c r="G93" s="33" t="str">
        <f>_xlfn.IFNA(VLOOKUP($C93&amp;","&amp;G3,汇编指令!$C$2:$D$235,2,FALSE),"-1")</f>
        <v>49</v>
      </c>
      <c r="H93" s="33" t="str">
        <f>_xlfn.IFNA(VLOOKUP($C93&amp;","&amp;H3,汇编指令!$C$2:$D$235,2,FALSE),"-1")</f>
        <v>4A</v>
      </c>
      <c r="I93" s="33" t="str">
        <f>_xlfn.IFNA(VLOOKUP($C93&amp;","&amp;I3,汇编指令!$C$2:$D$235,2,FALSE),"-1")</f>
        <v>4B</v>
      </c>
      <c r="J93" s="33" t="str">
        <f>_xlfn.IFNA(VLOOKUP($C93&amp;","&amp;J3,汇编指令!$C$2:$D$235,2,FALSE),"-1")</f>
        <v>4C</v>
      </c>
      <c r="K93" s="33" t="str">
        <f>_xlfn.IFNA(VLOOKUP($C93&amp;","&amp;K3,汇编指令!$C$2:$D$235,2,FALSE),"-1")</f>
        <v>4D</v>
      </c>
      <c r="L93" s="33" t="str">
        <f>_xlfn.IFNA(VLOOKUP($C93&amp;","&amp;L3,汇编指令!$C$2:$D$235,2,FALSE),"-1")</f>
        <v>4E</v>
      </c>
      <c r="M93" s="33" t="str">
        <f>_xlfn.IFNA(VLOOKUP($C93&amp;","&amp;M3,汇编指令!$C$2:$D$235,2,FALSE),"-1")</f>
        <v>4F</v>
      </c>
      <c r="N93" s="33" t="str">
        <f>_xlfn.IFNA(VLOOKUP($C93&amp;","&amp;N3,汇编指令!$C$2:$D$235,2,FALSE),"-1")</f>
        <v>44</v>
      </c>
      <c r="O93" s="33" t="str">
        <f>_xlfn.IFNA(VLOOKUP($C93&amp;","&amp;O3,汇编指令!$C$2:$D$235,2,FALSE),"-1")</f>
        <v>45</v>
      </c>
      <c r="P93" s="33" t="str">
        <f>_xlfn.IFNA(VLOOKUP($C93&amp;","&amp;P3,汇编指令!$C$2:$D$235,2,FALSE),"-1")</f>
        <v>46</v>
      </c>
      <c r="Q93" s="33" t="str">
        <f>_xlfn.IFNA(VLOOKUP($C93&amp;","&amp;Q3,汇编指令!$C$2:$D$235,2,FALSE),"-1")</f>
        <v>47</v>
      </c>
      <c r="R93" s="32" t="str">
        <f>_xlfn.IFNA(VLOOKUP($C93&amp;","&amp;R3,汇编指令!$C$2:$D$235,2,FALSE),"-1")</f>
        <v>-1</v>
      </c>
      <c r="S93" s="32" t="str">
        <f>_xlfn.IFNA(VLOOKUP($C93&amp;","&amp;S3,汇编指令!$C$2:$D$235,2,FALSE),"-1")</f>
        <v>-1</v>
      </c>
      <c r="T93" s="32" t="str">
        <f>_xlfn.IFNA(VLOOKUP($C93&amp;","&amp;T3,汇编指令!$C$2:$D$235,2,FALSE),"-1")</f>
        <v>-1</v>
      </c>
      <c r="U93" s="32" t="str">
        <f>_xlfn.IFNA(VLOOKUP($C93&amp;","&amp;U3,汇编指令!$C$2:$D$235,2,FALSE),"-1")</f>
        <v>-1</v>
      </c>
      <c r="V93" s="32" t="str">
        <f>_xlfn.IFNA(VLOOKUP($C93&amp;","&amp;V3,汇编指令!$C$2:$D$235,2,FALSE),"-1")</f>
        <v>-1</v>
      </c>
      <c r="W93" s="32" t="str">
        <f>_xlfn.IFNA(VLOOKUP($C93&amp;","&amp;W3,汇编指令!$C$2:$D$235,2,FALSE),"-1")</f>
        <v>-1</v>
      </c>
      <c r="X93" s="32" t="str">
        <f>_xlfn.IFNA(VLOOKUP($C93&amp;","&amp;X3,汇编指令!$C$2:$D$235,2,FALSE),"-1")</f>
        <v>-1</v>
      </c>
      <c r="Y93" s="32" t="str">
        <f>_xlfn.IFNA(VLOOKUP($C93&amp;","&amp;Y3,汇编指令!$C$2:$D$235,2,FALSE),"-1")</f>
        <v>-1</v>
      </c>
      <c r="Z93" s="32" t="str">
        <f>_xlfn.IFNA(VLOOKUP($C93&amp;","&amp;Z3,汇编指令!$C$2:$D$235,2,FALSE),"-1")</f>
        <v>-1</v>
      </c>
      <c r="AA93" s="32" t="str">
        <f>_xlfn.IFNA(VLOOKUP($C93&amp;","&amp;AA3,汇编指令!$C$2:$D$235,2,FALSE),"-1")</f>
        <v>-1</v>
      </c>
      <c r="AB93" s="53" t="str">
        <f>_xlfn.IFNA(VLOOKUP($C93&amp;","&amp;AB3,汇编指令!$C$2:$D$235,2,FALSE),"-1")</f>
        <v>-1</v>
      </c>
    </row>
    <row r="94" ht="20" customHeight="1" spans="1:28">
      <c r="A94" s="16">
        <v>2</v>
      </c>
      <c r="B94" s="21">
        <f t="shared" si="3"/>
        <v>90</v>
      </c>
      <c r="C94" s="24" t="s">
        <v>1009</v>
      </c>
      <c r="D94" s="23" t="str">
        <f t="shared" si="4"/>
        <v>5A</v>
      </c>
      <c r="E94" s="34" t="str">
        <f>_xlfn.IFNA(VLOOKUP($C94&amp;","&amp;E3,汇编指令!$C$2:$D$235,2,FALSE),"-1")</f>
        <v>-1</v>
      </c>
      <c r="F94" s="32" t="str">
        <f>_xlfn.IFNA(VLOOKUP($C94&amp;","&amp;F3,汇编指令!$C$2:$D$235,2,FALSE),"-1")</f>
        <v>-1</v>
      </c>
      <c r="G94" s="32" t="str">
        <f>_xlfn.IFNA(VLOOKUP($C94&amp;","&amp;G3,汇编指令!$C$2:$D$235,2,FALSE),"-1")</f>
        <v>-1</v>
      </c>
      <c r="H94" s="32" t="str">
        <f>_xlfn.IFNA(VLOOKUP($C94&amp;","&amp;H3,汇编指令!$C$2:$D$235,2,FALSE),"-1")</f>
        <v>-1</v>
      </c>
      <c r="I94" s="32" t="str">
        <f>_xlfn.IFNA(VLOOKUP($C94&amp;","&amp;I3,汇编指令!$C$2:$D$235,2,FALSE),"-1")</f>
        <v>-1</v>
      </c>
      <c r="J94" s="32" t="str">
        <f>_xlfn.IFNA(VLOOKUP($C94&amp;","&amp;J3,汇编指令!$C$2:$D$235,2,FALSE),"-1")</f>
        <v>-1</v>
      </c>
      <c r="K94" s="32" t="str">
        <f>_xlfn.IFNA(VLOOKUP($C94&amp;","&amp;K3,汇编指令!$C$2:$D$235,2,FALSE),"-1")</f>
        <v>-1</v>
      </c>
      <c r="L94" s="32" t="str">
        <f>_xlfn.IFNA(VLOOKUP($C94&amp;","&amp;L3,汇编指令!$C$2:$D$235,2,FALSE),"-1")</f>
        <v>-1</v>
      </c>
      <c r="M94" s="32" t="str">
        <f>_xlfn.IFNA(VLOOKUP($C94&amp;","&amp;M3,汇编指令!$C$2:$D$235,2,FALSE),"-1")</f>
        <v>-1</v>
      </c>
      <c r="N94" s="32" t="str">
        <f>_xlfn.IFNA(VLOOKUP($C94&amp;","&amp;N3,汇编指令!$C$2:$D$235,2,FALSE),"-1")</f>
        <v>-1</v>
      </c>
      <c r="O94" s="32" t="str">
        <f>_xlfn.IFNA(VLOOKUP($C94&amp;","&amp;O3,汇编指令!$C$2:$D$235,2,FALSE),"-1")</f>
        <v>-1</v>
      </c>
      <c r="P94" s="32" t="str">
        <f>_xlfn.IFNA(VLOOKUP($C94&amp;","&amp;P3,汇编指令!$C$2:$D$235,2,FALSE),"-1")</f>
        <v>-1</v>
      </c>
      <c r="Q94" s="32" t="str">
        <f>_xlfn.IFNA(VLOOKUP($C94&amp;","&amp;Q3,汇编指令!$C$2:$D$235,2,FALSE),"-1")</f>
        <v>-1</v>
      </c>
      <c r="R94" s="32" t="str">
        <f>_xlfn.IFNA(VLOOKUP($C94&amp;","&amp;R3,汇编指令!$C$2:$D$235,2,FALSE),"-1")</f>
        <v>-1</v>
      </c>
      <c r="S94" s="32" t="str">
        <f>_xlfn.IFNA(VLOOKUP($C94&amp;","&amp;S3,汇编指令!$C$2:$D$235,2,FALSE),"-1")</f>
        <v>-1</v>
      </c>
      <c r="T94" s="32" t="str">
        <f>_xlfn.IFNA(VLOOKUP($C94&amp;","&amp;T3,汇编指令!$C$2:$D$235,2,FALSE),"-1")</f>
        <v>-1</v>
      </c>
      <c r="U94" s="32" t="str">
        <f>_xlfn.IFNA(VLOOKUP($C94&amp;","&amp;U3,汇编指令!$C$2:$D$235,2,FALSE),"-1")</f>
        <v>-1</v>
      </c>
      <c r="V94" s="32" t="str">
        <f>_xlfn.IFNA(VLOOKUP($C94&amp;","&amp;V3,汇编指令!$C$2:$D$235,2,FALSE),"-1")</f>
        <v>-1</v>
      </c>
      <c r="W94" s="32" t="str">
        <f>_xlfn.IFNA(VLOOKUP($C94&amp;","&amp;W3,汇编指令!$C$2:$D$235,2,FALSE),"-1")</f>
        <v>-1</v>
      </c>
      <c r="X94" s="32" t="str">
        <f>_xlfn.IFNA(VLOOKUP($C94&amp;","&amp;X3,汇编指令!$C$2:$D$235,2,FALSE),"-1")</f>
        <v>-1</v>
      </c>
      <c r="Y94" s="33" t="str">
        <f>_xlfn.IFNA(VLOOKUP($C94&amp;","&amp;Y3,汇编指令!$C$2:$D$235,2,FALSE),"-1")</f>
        <v>72</v>
      </c>
      <c r="Z94" s="32" t="str">
        <f>_xlfn.IFNA(VLOOKUP($C94&amp;","&amp;Z3,汇编指令!$C$2:$D$235,2,FALSE),"-1")</f>
        <v>-1</v>
      </c>
      <c r="AA94" s="32" t="str">
        <f>_xlfn.IFNA(VLOOKUP($C94&amp;","&amp;AA3,汇编指令!$C$2:$D$235,2,FALSE),"-1")</f>
        <v>-1</v>
      </c>
      <c r="AB94" s="54" t="str">
        <f>_xlfn.IFNA(VLOOKUP($C94&amp;","&amp;AB3,汇编指令!$C$2:$D$235,2,FALSE),"-1")</f>
        <v>A0</v>
      </c>
    </row>
    <row r="95" ht="20" customHeight="1" spans="1:28">
      <c r="A95" s="16">
        <v>2</v>
      </c>
      <c r="B95" s="21">
        <f t="shared" si="3"/>
        <v>91</v>
      </c>
      <c r="C95" s="24" t="s">
        <v>1010</v>
      </c>
      <c r="D95" s="23" t="str">
        <f t="shared" si="4"/>
        <v>5B</v>
      </c>
      <c r="E95" s="34" t="str">
        <f>_xlfn.IFNA(VLOOKUP($C95&amp;","&amp;E3,汇编指令!$C$2:$D$235,2,FALSE),"-1")</f>
        <v>-1</v>
      </c>
      <c r="F95" s="32" t="str">
        <f>_xlfn.IFNA(VLOOKUP($C95&amp;","&amp;F3,汇编指令!$C$2:$D$235,2,FALSE),"-1")</f>
        <v>-1</v>
      </c>
      <c r="G95" s="32" t="str">
        <f>_xlfn.IFNA(VLOOKUP($C95&amp;","&amp;G3,汇编指令!$C$2:$D$235,2,FALSE),"-1")</f>
        <v>-1</v>
      </c>
      <c r="H95" s="32" t="str">
        <f>_xlfn.IFNA(VLOOKUP($C95&amp;","&amp;H3,汇编指令!$C$2:$D$235,2,FALSE),"-1")</f>
        <v>-1</v>
      </c>
      <c r="I95" s="32" t="str">
        <f>_xlfn.IFNA(VLOOKUP($C95&amp;","&amp;I3,汇编指令!$C$2:$D$235,2,FALSE),"-1")</f>
        <v>-1</v>
      </c>
      <c r="J95" s="32" t="str">
        <f>_xlfn.IFNA(VLOOKUP($C95&amp;","&amp;J3,汇编指令!$C$2:$D$235,2,FALSE),"-1")</f>
        <v>-1</v>
      </c>
      <c r="K95" s="32" t="str">
        <f>_xlfn.IFNA(VLOOKUP($C95&amp;","&amp;K3,汇编指令!$C$2:$D$235,2,FALSE),"-1")</f>
        <v>-1</v>
      </c>
      <c r="L95" s="32" t="str">
        <f>_xlfn.IFNA(VLOOKUP($C95&amp;","&amp;L3,汇编指令!$C$2:$D$235,2,FALSE),"-1")</f>
        <v>-1</v>
      </c>
      <c r="M95" s="32" t="str">
        <f>_xlfn.IFNA(VLOOKUP($C95&amp;","&amp;M3,汇编指令!$C$2:$D$235,2,FALSE),"-1")</f>
        <v>-1</v>
      </c>
      <c r="N95" s="33" t="str">
        <f>_xlfn.IFNA(VLOOKUP($C95&amp;","&amp;N3,汇编指令!$C$2:$D$235,2,FALSE),"-1")</f>
        <v>42</v>
      </c>
      <c r="O95" s="32" t="str">
        <f>_xlfn.IFNA(VLOOKUP($C95&amp;","&amp;O3,汇编指令!$C$2:$D$235,2,FALSE),"-1")</f>
        <v>-1</v>
      </c>
      <c r="P95" s="32" t="str">
        <f>_xlfn.IFNA(VLOOKUP($C95&amp;","&amp;P3,汇编指令!$C$2:$D$235,2,FALSE),"-1")</f>
        <v>-1</v>
      </c>
      <c r="Q95" s="32" t="str">
        <f>_xlfn.IFNA(VLOOKUP($C95&amp;","&amp;Q3,汇编指令!$C$2:$D$235,2,FALSE),"-1")</f>
        <v>-1</v>
      </c>
      <c r="R95" s="32" t="str">
        <f>_xlfn.IFNA(VLOOKUP($C95&amp;","&amp;R3,汇编指令!$C$2:$D$235,2,FALSE),"-1")</f>
        <v>-1</v>
      </c>
      <c r="S95" s="32" t="str">
        <f>_xlfn.IFNA(VLOOKUP($C95&amp;","&amp;S3,汇编指令!$C$2:$D$235,2,FALSE),"-1")</f>
        <v>-1</v>
      </c>
      <c r="T95" s="32" t="str">
        <f>_xlfn.IFNA(VLOOKUP($C95&amp;","&amp;T3,汇编指令!$C$2:$D$235,2,FALSE),"-1")</f>
        <v>-1</v>
      </c>
      <c r="U95" s="32" t="str">
        <f>_xlfn.IFNA(VLOOKUP($C95&amp;","&amp;U3,汇编指令!$C$2:$D$235,2,FALSE),"-1")</f>
        <v>-1</v>
      </c>
      <c r="V95" s="32" t="str">
        <f>_xlfn.IFNA(VLOOKUP($C95&amp;","&amp;V3,汇编指令!$C$2:$D$235,2,FALSE),"-1")</f>
        <v>-1</v>
      </c>
      <c r="W95" s="32" t="str">
        <f>_xlfn.IFNA(VLOOKUP($C95&amp;","&amp;W3,汇编指令!$C$2:$D$235,2,FALSE),"-1")</f>
        <v>-1</v>
      </c>
      <c r="X95" s="32" t="str">
        <f>_xlfn.IFNA(VLOOKUP($C95&amp;","&amp;X3,汇编指令!$C$2:$D$235,2,FALSE),"-1")</f>
        <v>-1</v>
      </c>
      <c r="Y95" s="32" t="str">
        <f>_xlfn.IFNA(VLOOKUP($C95&amp;","&amp;Y3,汇编指令!$C$2:$D$235,2,FALSE),"-1")</f>
        <v>-1</v>
      </c>
      <c r="Z95" s="32" t="str">
        <f>_xlfn.IFNA(VLOOKUP($C95&amp;","&amp;Z3,汇编指令!$C$2:$D$235,2,FALSE),"-1")</f>
        <v>-1</v>
      </c>
      <c r="AA95" s="32" t="str">
        <f>_xlfn.IFNA(VLOOKUP($C95&amp;","&amp;AA3,汇编指令!$C$2:$D$235,2,FALSE),"-1")</f>
        <v>-1</v>
      </c>
      <c r="AB95" s="53" t="str">
        <f>_xlfn.IFNA(VLOOKUP($C95&amp;","&amp;AB3,汇编指令!$C$2:$D$235,2,FALSE),"-1")</f>
        <v>-1</v>
      </c>
    </row>
    <row r="96" ht="20" customHeight="1" spans="1:28">
      <c r="A96" s="16">
        <v>2</v>
      </c>
      <c r="B96" s="21">
        <f t="shared" si="3"/>
        <v>92</v>
      </c>
      <c r="C96" s="24" t="s">
        <v>1011</v>
      </c>
      <c r="D96" s="23" t="str">
        <f t="shared" si="4"/>
        <v>5C</v>
      </c>
      <c r="E96" s="34" t="str">
        <f>_xlfn.IFNA(VLOOKUP($C96&amp;","&amp;E3,汇编指令!$C$2:$D$235,2,FALSE),"-1")</f>
        <v>-1</v>
      </c>
      <c r="F96" s="33" t="str">
        <f>_xlfn.IFNA(VLOOKUP($C96&amp;","&amp;F3,汇编指令!$C$2:$D$235,2,FALSE),"-1")</f>
        <v>98</v>
      </c>
      <c r="G96" s="33" t="str">
        <f>_xlfn.IFNA(VLOOKUP($C96&amp;","&amp;G3,汇编指令!$C$2:$D$235,2,FALSE),"-1")</f>
        <v>99</v>
      </c>
      <c r="H96" s="33" t="str">
        <f>_xlfn.IFNA(VLOOKUP($C96&amp;","&amp;H3,汇编指令!$C$2:$D$235,2,FALSE),"-1")</f>
        <v>9A</v>
      </c>
      <c r="I96" s="33" t="str">
        <f>_xlfn.IFNA(VLOOKUP($C96&amp;","&amp;I3,汇编指令!$C$2:$D$235,2,FALSE),"-1")</f>
        <v>9B</v>
      </c>
      <c r="J96" s="33" t="str">
        <f>_xlfn.IFNA(VLOOKUP($C96&amp;","&amp;J3,汇编指令!$C$2:$D$235,2,FALSE),"-1")</f>
        <v>9C</v>
      </c>
      <c r="K96" s="33" t="str">
        <f>_xlfn.IFNA(VLOOKUP($C96&amp;","&amp;K3,汇编指令!$C$2:$D$235,2,FALSE),"-1")</f>
        <v>9D</v>
      </c>
      <c r="L96" s="33" t="str">
        <f>_xlfn.IFNA(VLOOKUP($C96&amp;","&amp;L3,汇编指令!$C$2:$D$235,2,FALSE),"-1")</f>
        <v>9E</v>
      </c>
      <c r="M96" s="33" t="str">
        <f>_xlfn.IFNA(VLOOKUP($C96&amp;","&amp;M3,汇编指令!$C$2:$D$235,2,FALSE),"-1")</f>
        <v>9F</v>
      </c>
      <c r="N96" s="33" t="str">
        <f>_xlfn.IFNA(VLOOKUP($C96&amp;","&amp;N3,汇编指令!$C$2:$D$235,2,FALSE),"-1")</f>
        <v>94</v>
      </c>
      <c r="O96" s="33" t="str">
        <f>_xlfn.IFNA(VLOOKUP($C96&amp;","&amp;O3,汇编指令!$C$2:$D$235,2,FALSE),"-1")</f>
        <v>95</v>
      </c>
      <c r="P96" s="33" t="str">
        <f>_xlfn.IFNA(VLOOKUP($C96&amp;","&amp;P3,汇编指令!$C$2:$D$235,2,FALSE),"-1")</f>
        <v>96</v>
      </c>
      <c r="Q96" s="33" t="str">
        <f>_xlfn.IFNA(VLOOKUP($C96&amp;","&amp;Q3,汇编指令!$C$2:$D$235,2,FALSE),"-1")</f>
        <v>97</v>
      </c>
      <c r="R96" s="32" t="str">
        <f>_xlfn.IFNA(VLOOKUP($C96&amp;","&amp;R3,汇编指令!$C$2:$D$235,2,FALSE),"-1")</f>
        <v>-1</v>
      </c>
      <c r="S96" s="32" t="str">
        <f>_xlfn.IFNA(VLOOKUP($C96&amp;","&amp;S3,汇编指令!$C$2:$D$235,2,FALSE),"-1")</f>
        <v>-1</v>
      </c>
      <c r="T96" s="32" t="str">
        <f>_xlfn.IFNA(VLOOKUP($C96&amp;","&amp;T3,汇编指令!$C$2:$D$235,2,FALSE),"-1")</f>
        <v>-1</v>
      </c>
      <c r="U96" s="32" t="str">
        <f>_xlfn.IFNA(VLOOKUP($C96&amp;","&amp;U3,汇编指令!$C$2:$D$235,2,FALSE),"-1")</f>
        <v>-1</v>
      </c>
      <c r="V96" s="32" t="str">
        <f>_xlfn.IFNA(VLOOKUP($C96&amp;","&amp;V3,汇编指令!$C$2:$D$235,2,FALSE),"-1")</f>
        <v>-1</v>
      </c>
      <c r="W96" s="32" t="str">
        <f>_xlfn.IFNA(VLOOKUP($C96&amp;","&amp;W3,汇编指令!$C$2:$D$235,2,FALSE),"-1")</f>
        <v>-1</v>
      </c>
      <c r="X96" s="32" t="str">
        <f>_xlfn.IFNA(VLOOKUP($C96&amp;","&amp;X3,汇编指令!$C$2:$D$235,2,FALSE),"-1")</f>
        <v>-1</v>
      </c>
      <c r="Y96" s="32" t="str">
        <f>_xlfn.IFNA(VLOOKUP($C96&amp;","&amp;Y3,汇编指令!$C$2:$D$235,2,FALSE),"-1")</f>
        <v>-1</v>
      </c>
      <c r="Z96" s="32" t="str">
        <f>_xlfn.IFNA(VLOOKUP($C96&amp;","&amp;Z3,汇编指令!$C$2:$D$235,2,FALSE),"-1")</f>
        <v>-1</v>
      </c>
      <c r="AA96" s="32" t="str">
        <f>_xlfn.IFNA(VLOOKUP($C96&amp;","&amp;AA3,汇编指令!$C$2:$D$235,2,FALSE),"-1")</f>
        <v>-1</v>
      </c>
      <c r="AB96" s="53" t="str">
        <f>_xlfn.IFNA(VLOOKUP($C96&amp;","&amp;AB3,汇编指令!$C$2:$D$235,2,FALSE),"-1")</f>
        <v>-1</v>
      </c>
    </row>
    <row r="97" ht="20" customHeight="1" spans="1:28">
      <c r="A97" s="16">
        <v>2</v>
      </c>
      <c r="B97" s="21">
        <f t="shared" si="3"/>
        <v>93</v>
      </c>
      <c r="C97" s="24" t="s">
        <v>1012</v>
      </c>
      <c r="D97" s="23" t="str">
        <f t="shared" si="4"/>
        <v>5D</v>
      </c>
      <c r="E97" s="34" t="str">
        <f>_xlfn.IFNA(VLOOKUP($C97&amp;","&amp;E3,汇编指令!$C$2:$D$235,2,FALSE),"-1")</f>
        <v>-1</v>
      </c>
      <c r="F97" s="33" t="str">
        <f>_xlfn.IFNA(VLOOKUP($C97&amp;","&amp;F3,汇编指令!$C$2:$D$235,2,FALSE),"-1")</f>
        <v>C8</v>
      </c>
      <c r="G97" s="33" t="str">
        <f>_xlfn.IFNA(VLOOKUP($C97&amp;","&amp;G3,汇编指令!$C$2:$D$235,2,FALSE),"-1")</f>
        <v>C9</v>
      </c>
      <c r="H97" s="33" t="str">
        <f>_xlfn.IFNA(VLOOKUP($C97&amp;","&amp;H3,汇编指令!$C$2:$D$235,2,FALSE),"-1")</f>
        <v>CA</v>
      </c>
      <c r="I97" s="33" t="str">
        <f>_xlfn.IFNA(VLOOKUP($C97&amp;","&amp;I3,汇编指令!$C$2:$D$235,2,FALSE),"-1")</f>
        <v>CB</v>
      </c>
      <c r="J97" s="33" t="str">
        <f>_xlfn.IFNA(VLOOKUP($C97&amp;","&amp;J3,汇编指令!$C$2:$D$235,2,FALSE),"-1")</f>
        <v>CC</v>
      </c>
      <c r="K97" s="33" t="str">
        <f>_xlfn.IFNA(VLOOKUP($C97&amp;","&amp;K3,汇编指令!$C$2:$D$235,2,FALSE),"-1")</f>
        <v>CD</v>
      </c>
      <c r="L97" s="33" t="str">
        <f>_xlfn.IFNA(VLOOKUP($C97&amp;","&amp;L3,汇编指令!$C$2:$D$235,2,FALSE),"-1")</f>
        <v>CE</v>
      </c>
      <c r="M97" s="33" t="str">
        <f>_xlfn.IFNA(VLOOKUP($C97&amp;","&amp;M3,汇编指令!$C$2:$D$235,2,FALSE),"-1")</f>
        <v>CF</v>
      </c>
      <c r="N97" s="32" t="str">
        <f>_xlfn.IFNA(VLOOKUP($C97&amp;","&amp;N3,汇编指令!$C$2:$D$235,2,FALSE),"-1")</f>
        <v>-1</v>
      </c>
      <c r="O97" s="33" t="str">
        <f>_xlfn.IFNA(VLOOKUP($C97&amp;","&amp;O3,汇编指令!$C$2:$D$235,2,FALSE),"-1")</f>
        <v>C5</v>
      </c>
      <c r="P97" s="33" t="str">
        <f>_xlfn.IFNA(VLOOKUP($C97&amp;","&amp;P3,汇编指令!$C$2:$D$235,2,FALSE),"-1")</f>
        <v>C6</v>
      </c>
      <c r="Q97" s="33" t="str">
        <f>_xlfn.IFNA(VLOOKUP($C97&amp;","&amp;Q3,汇编指令!$C$2:$D$235,2,FALSE),"-1")</f>
        <v>C7</v>
      </c>
      <c r="R97" s="32" t="str">
        <f>_xlfn.IFNA(VLOOKUP($C97&amp;","&amp;R3,汇编指令!$C$2:$D$235,2,FALSE),"-1")</f>
        <v>-1</v>
      </c>
      <c r="S97" s="32" t="str">
        <f>_xlfn.IFNA(VLOOKUP($C97&amp;","&amp;S3,汇编指令!$C$2:$D$235,2,FALSE),"-1")</f>
        <v>-1</v>
      </c>
      <c r="T97" s="32" t="str">
        <f>_xlfn.IFNA(VLOOKUP($C97&amp;","&amp;T3,汇编指令!$C$2:$D$235,2,FALSE),"-1")</f>
        <v>-1</v>
      </c>
      <c r="U97" s="32" t="str">
        <f>_xlfn.IFNA(VLOOKUP($C97&amp;","&amp;U3,汇编指令!$C$2:$D$235,2,FALSE),"-1")</f>
        <v>-1</v>
      </c>
      <c r="V97" s="32" t="str">
        <f>_xlfn.IFNA(VLOOKUP($C97&amp;","&amp;V3,汇编指令!$C$2:$D$235,2,FALSE),"-1")</f>
        <v>-1</v>
      </c>
      <c r="W97" s="32" t="str">
        <f>_xlfn.IFNA(VLOOKUP($C97&amp;","&amp;W3,汇编指令!$C$2:$D$235,2,FALSE),"-1")</f>
        <v>-1</v>
      </c>
      <c r="X97" s="32" t="str">
        <f>_xlfn.IFNA(VLOOKUP($C97&amp;","&amp;X3,汇编指令!$C$2:$D$235,2,FALSE),"-1")</f>
        <v>-1</v>
      </c>
      <c r="Y97" s="32" t="str">
        <f>_xlfn.IFNA(VLOOKUP($C97&amp;","&amp;Y3,汇编指令!$C$2:$D$235,2,FALSE),"-1")</f>
        <v>-1</v>
      </c>
      <c r="Z97" s="32" t="str">
        <f>_xlfn.IFNA(VLOOKUP($C97&amp;","&amp;Z3,汇编指令!$C$2:$D$235,2,FALSE),"-1")</f>
        <v>-1</v>
      </c>
      <c r="AA97" s="32" t="str">
        <f>_xlfn.IFNA(VLOOKUP($C97&amp;","&amp;AA3,汇编指令!$C$2:$D$235,2,FALSE),"-1")</f>
        <v>-1</v>
      </c>
      <c r="AB97" s="53" t="str">
        <f>_xlfn.IFNA(VLOOKUP($C97&amp;","&amp;AB3,汇编指令!$C$2:$D$235,2,FALSE),"-1")</f>
        <v>-1</v>
      </c>
    </row>
    <row r="98" ht="20" customHeight="1" spans="1:28">
      <c r="A98" s="16">
        <v>2</v>
      </c>
      <c r="B98" s="21">
        <f t="shared" si="3"/>
        <v>94</v>
      </c>
      <c r="C98" s="24" t="s">
        <v>1013</v>
      </c>
      <c r="D98" s="23" t="str">
        <f t="shared" si="4"/>
        <v>5E</v>
      </c>
      <c r="E98" s="34" t="str">
        <f>_xlfn.IFNA(VLOOKUP($C98&amp;","&amp;E3,汇编指令!$C$2:$D$235,2,FALSE),"-1")</f>
        <v>-1</v>
      </c>
      <c r="F98" s="32" t="str">
        <f>_xlfn.IFNA(VLOOKUP($C98&amp;","&amp;F3,汇编指令!$C$2:$D$235,2,FALSE),"-1")</f>
        <v>-1</v>
      </c>
      <c r="G98" s="32" t="str">
        <f>_xlfn.IFNA(VLOOKUP($C98&amp;","&amp;G3,汇编指令!$C$2:$D$235,2,FALSE),"-1")</f>
        <v>-1</v>
      </c>
      <c r="H98" s="32" t="str">
        <f>_xlfn.IFNA(VLOOKUP($C98&amp;","&amp;H3,汇编指令!$C$2:$D$235,2,FALSE),"-1")</f>
        <v>-1</v>
      </c>
      <c r="I98" s="32" t="str">
        <f>_xlfn.IFNA(VLOOKUP($C98&amp;","&amp;I3,汇编指令!$C$2:$D$235,2,FALSE),"-1")</f>
        <v>-1</v>
      </c>
      <c r="J98" s="32" t="str">
        <f>_xlfn.IFNA(VLOOKUP($C98&amp;","&amp;J3,汇编指令!$C$2:$D$235,2,FALSE),"-1")</f>
        <v>-1</v>
      </c>
      <c r="K98" s="32" t="str">
        <f>_xlfn.IFNA(VLOOKUP($C98&amp;","&amp;K3,汇编指令!$C$2:$D$235,2,FALSE),"-1")</f>
        <v>-1</v>
      </c>
      <c r="L98" s="32" t="str">
        <f>_xlfn.IFNA(VLOOKUP($C98&amp;","&amp;L3,汇编指令!$C$2:$D$235,2,FALSE),"-1")</f>
        <v>-1</v>
      </c>
      <c r="M98" s="32" t="str">
        <f>_xlfn.IFNA(VLOOKUP($C98&amp;","&amp;M3,汇编指令!$C$2:$D$235,2,FALSE),"-1")</f>
        <v>-1</v>
      </c>
      <c r="N98" s="32" t="str">
        <f>_xlfn.IFNA(VLOOKUP($C98&amp;","&amp;N3,汇编指令!$C$2:$D$235,2,FALSE),"-1")</f>
        <v>-1</v>
      </c>
      <c r="O98" s="32" t="str">
        <f>_xlfn.IFNA(VLOOKUP($C98&amp;","&amp;O3,汇编指令!$C$2:$D$235,2,FALSE),"-1")</f>
        <v>-1</v>
      </c>
      <c r="P98" s="33" t="str">
        <f>_xlfn.IFNA(VLOOKUP($C98&amp;","&amp;P3,汇编指令!$C$2:$D$235,2,FALSE),"-1")</f>
        <v>D6</v>
      </c>
      <c r="Q98" s="33" t="str">
        <f>_xlfn.IFNA(VLOOKUP($C98&amp;","&amp;Q3,汇编指令!$C$2:$D$235,2,FALSE),"-1")</f>
        <v>D7</v>
      </c>
      <c r="R98" s="32" t="str">
        <f>_xlfn.IFNA(VLOOKUP($C98&amp;","&amp;R3,汇编指令!$C$2:$D$235,2,FALSE),"-1")</f>
        <v>-1</v>
      </c>
      <c r="S98" s="32" t="str">
        <f>_xlfn.IFNA(VLOOKUP($C98&amp;","&amp;S3,汇编指令!$C$2:$D$235,2,FALSE),"-1")</f>
        <v>-1</v>
      </c>
      <c r="T98" s="32" t="str">
        <f>_xlfn.IFNA(VLOOKUP($C98&amp;","&amp;T3,汇编指令!$C$2:$D$235,2,FALSE),"-1")</f>
        <v>-1</v>
      </c>
      <c r="U98" s="32" t="str">
        <f>_xlfn.IFNA(VLOOKUP($C98&amp;","&amp;U3,汇编指令!$C$2:$D$235,2,FALSE),"-1")</f>
        <v>-1</v>
      </c>
      <c r="V98" s="32" t="str">
        <f>_xlfn.IFNA(VLOOKUP($C98&amp;","&amp;V3,汇编指令!$C$2:$D$235,2,FALSE),"-1")</f>
        <v>-1</v>
      </c>
      <c r="W98" s="32" t="str">
        <f>_xlfn.IFNA(VLOOKUP($C98&amp;","&amp;W3,汇编指令!$C$2:$D$235,2,FALSE),"-1")</f>
        <v>-1</v>
      </c>
      <c r="X98" s="32" t="str">
        <f>_xlfn.IFNA(VLOOKUP($C98&amp;","&amp;X3,汇编指令!$C$2:$D$235,2,FALSE),"-1")</f>
        <v>-1</v>
      </c>
      <c r="Y98" s="32" t="str">
        <f>_xlfn.IFNA(VLOOKUP($C98&amp;","&amp;Y3,汇编指令!$C$2:$D$235,2,FALSE),"-1")</f>
        <v>-1</v>
      </c>
      <c r="Z98" s="32" t="str">
        <f>_xlfn.IFNA(VLOOKUP($C98&amp;","&amp;Z3,汇编指令!$C$2:$D$235,2,FALSE),"-1")</f>
        <v>-1</v>
      </c>
      <c r="AA98" s="32" t="str">
        <f>_xlfn.IFNA(VLOOKUP($C98&amp;","&amp;AA3,汇编指令!$C$2:$D$235,2,FALSE),"-1")</f>
        <v>-1</v>
      </c>
      <c r="AB98" s="53" t="str">
        <f>_xlfn.IFNA(VLOOKUP($C98&amp;","&amp;AB3,汇编指令!$C$2:$D$235,2,FALSE),"-1")</f>
        <v>-1</v>
      </c>
    </row>
    <row r="99" ht="20" customHeight="1" spans="1:28">
      <c r="A99" s="16">
        <v>2</v>
      </c>
      <c r="B99" s="21">
        <f t="shared" si="3"/>
        <v>95</v>
      </c>
      <c r="C99" s="24" t="s">
        <v>1014</v>
      </c>
      <c r="D99" s="23" t="str">
        <f t="shared" si="4"/>
        <v>5F</v>
      </c>
      <c r="E99" s="34" t="str">
        <f>_xlfn.IFNA(VLOOKUP($C99&amp;","&amp;E3,汇编指令!$C$2:$D$235,2,FALSE),"-1")</f>
        <v>-1</v>
      </c>
      <c r="F99" s="33" t="str">
        <f>_xlfn.IFNA(VLOOKUP($C99&amp;","&amp;F3,汇编指令!$C$2:$D$235,2,FALSE),"-1")</f>
        <v>68</v>
      </c>
      <c r="G99" s="33" t="str">
        <f>_xlfn.IFNA(VLOOKUP($C99&amp;","&amp;G3,汇编指令!$C$2:$D$235,2,FALSE),"-1")</f>
        <v>69</v>
      </c>
      <c r="H99" s="33" t="str">
        <f>_xlfn.IFNA(VLOOKUP($C99&amp;","&amp;H3,汇编指令!$C$2:$D$235,2,FALSE),"-1")</f>
        <v>6A</v>
      </c>
      <c r="I99" s="33" t="str">
        <f>_xlfn.IFNA(VLOOKUP($C99&amp;","&amp;I3,汇编指令!$C$2:$D$235,2,FALSE),"-1")</f>
        <v>6B</v>
      </c>
      <c r="J99" s="33" t="str">
        <f>_xlfn.IFNA(VLOOKUP($C99&amp;","&amp;J3,汇编指令!$C$2:$D$235,2,FALSE),"-1")</f>
        <v>6C</v>
      </c>
      <c r="K99" s="33" t="str">
        <f>_xlfn.IFNA(VLOOKUP($C99&amp;","&amp;K3,汇编指令!$C$2:$D$235,2,FALSE),"-1")</f>
        <v>6D</v>
      </c>
      <c r="L99" s="33" t="str">
        <f>_xlfn.IFNA(VLOOKUP($C99&amp;","&amp;L3,汇编指令!$C$2:$D$235,2,FALSE),"-1")</f>
        <v>6E</v>
      </c>
      <c r="M99" s="33" t="str">
        <f>_xlfn.IFNA(VLOOKUP($C99&amp;","&amp;M3,汇编指令!$C$2:$D$235,2,FALSE),"-1")</f>
        <v>6F</v>
      </c>
      <c r="N99" s="33" t="str">
        <f>_xlfn.IFNA(VLOOKUP($C99&amp;","&amp;N3,汇编指令!$C$2:$D$235,2,FALSE),"-1")</f>
        <v>64</v>
      </c>
      <c r="O99" s="33" t="str">
        <f>_xlfn.IFNA(VLOOKUP($C99&amp;","&amp;O3,汇编指令!$C$2:$D$235,2,FALSE),"-1")</f>
        <v>65</v>
      </c>
      <c r="P99" s="33" t="str">
        <f>_xlfn.IFNA(VLOOKUP($C99&amp;","&amp;P3,汇编指令!$C$2:$D$235,2,FALSE),"-1")</f>
        <v>66</v>
      </c>
      <c r="Q99" s="33" t="str">
        <f>_xlfn.IFNA(VLOOKUP($C99&amp;","&amp;Q3,汇编指令!$C$2:$D$235,2,FALSE),"-1")</f>
        <v>67</v>
      </c>
      <c r="R99" s="32" t="str">
        <f>_xlfn.IFNA(VLOOKUP($C99&amp;","&amp;R3,汇编指令!$C$2:$D$235,2,FALSE),"-1")</f>
        <v>-1</v>
      </c>
      <c r="S99" s="32" t="str">
        <f>_xlfn.IFNA(VLOOKUP($C99&amp;","&amp;S3,汇编指令!$C$2:$D$235,2,FALSE),"-1")</f>
        <v>-1</v>
      </c>
      <c r="T99" s="32" t="str">
        <f>_xlfn.IFNA(VLOOKUP($C99&amp;","&amp;T3,汇编指令!$C$2:$D$235,2,FALSE),"-1")</f>
        <v>-1</v>
      </c>
      <c r="U99" s="32" t="str">
        <f>_xlfn.IFNA(VLOOKUP($C99&amp;","&amp;U3,汇编指令!$C$2:$D$235,2,FALSE),"-1")</f>
        <v>-1</v>
      </c>
      <c r="V99" s="32" t="str">
        <f>_xlfn.IFNA(VLOOKUP($C99&amp;","&amp;V3,汇编指令!$C$2:$D$235,2,FALSE),"-1")</f>
        <v>-1</v>
      </c>
      <c r="W99" s="32" t="str">
        <f>_xlfn.IFNA(VLOOKUP($C99&amp;","&amp;W3,汇编指令!$C$2:$D$235,2,FALSE),"-1")</f>
        <v>-1</v>
      </c>
      <c r="X99" s="32" t="str">
        <f>_xlfn.IFNA(VLOOKUP($C99&amp;","&amp;X3,汇编指令!$C$2:$D$235,2,FALSE),"-1")</f>
        <v>-1</v>
      </c>
      <c r="Y99" s="32" t="str">
        <f>_xlfn.IFNA(VLOOKUP($C99&amp;","&amp;Y3,汇编指令!$C$2:$D$235,2,FALSE),"-1")</f>
        <v>-1</v>
      </c>
      <c r="Z99" s="32" t="str">
        <f>_xlfn.IFNA(VLOOKUP($C99&amp;","&amp;Z3,汇编指令!$C$2:$D$235,2,FALSE),"-1")</f>
        <v>-1</v>
      </c>
      <c r="AA99" s="32" t="str">
        <f>_xlfn.IFNA(VLOOKUP($C99&amp;","&amp;AA3,汇编指令!$C$2:$D$235,2,FALSE),"-1")</f>
        <v>-1</v>
      </c>
      <c r="AB99" s="53" t="str">
        <f>_xlfn.IFNA(VLOOKUP($C99&amp;","&amp;AB3,汇编指令!$C$2:$D$235,2,FALSE),"-1")</f>
        <v>-1</v>
      </c>
    </row>
    <row r="100" ht="20" customHeight="1" spans="1:28">
      <c r="A100" s="16">
        <v>2</v>
      </c>
      <c r="B100" s="21">
        <f t="shared" si="3"/>
        <v>96</v>
      </c>
      <c r="C100" s="24" t="s">
        <v>1015</v>
      </c>
      <c r="D100" s="23" t="str">
        <f t="shared" si="4"/>
        <v>60</v>
      </c>
      <c r="E100" s="34" t="str">
        <f>_xlfn.IFNA(VLOOKUP($C100&amp;","&amp;E3,汇编指令!$C$2:$D$235,2,FALSE),"-1")</f>
        <v>-1</v>
      </c>
      <c r="F100" s="32" t="str">
        <f>_xlfn.IFNA(VLOOKUP($C100&amp;","&amp;F3,汇编指令!$C$2:$D$235,2,FALSE),"-1")</f>
        <v>-1</v>
      </c>
      <c r="G100" s="32" t="str">
        <f>_xlfn.IFNA(VLOOKUP($C100&amp;","&amp;G3,汇编指令!$C$2:$D$235,2,FALSE),"-1")</f>
        <v>-1</v>
      </c>
      <c r="H100" s="32" t="str">
        <f>_xlfn.IFNA(VLOOKUP($C100&amp;","&amp;H3,汇编指令!$C$2:$D$235,2,FALSE),"-1")</f>
        <v>-1</v>
      </c>
      <c r="I100" s="32" t="str">
        <f>_xlfn.IFNA(VLOOKUP($C100&amp;","&amp;I3,汇编指令!$C$2:$D$235,2,FALSE),"-1")</f>
        <v>-1</v>
      </c>
      <c r="J100" s="32" t="str">
        <f>_xlfn.IFNA(VLOOKUP($C100&amp;","&amp;J3,汇编指令!$C$2:$D$235,2,FALSE),"-1")</f>
        <v>-1</v>
      </c>
      <c r="K100" s="32" t="str">
        <f>_xlfn.IFNA(VLOOKUP($C100&amp;","&amp;K3,汇编指令!$C$2:$D$235,2,FALSE),"-1")</f>
        <v>-1</v>
      </c>
      <c r="L100" s="32" t="str">
        <f>_xlfn.IFNA(VLOOKUP($C100&amp;","&amp;L3,汇编指令!$C$2:$D$235,2,FALSE),"-1")</f>
        <v>-1</v>
      </c>
      <c r="M100" s="32" t="str">
        <f>_xlfn.IFNA(VLOOKUP($C100&amp;","&amp;M3,汇编指令!$C$2:$D$235,2,FALSE),"-1")</f>
        <v>-1</v>
      </c>
      <c r="N100" s="33" t="str">
        <f>_xlfn.IFNA(VLOOKUP($C100&amp;","&amp;N3,汇编指令!$C$2:$D$235,2,FALSE),"-1")</f>
        <v>62</v>
      </c>
      <c r="O100" s="32" t="str">
        <f>_xlfn.IFNA(VLOOKUP($C100&amp;","&amp;O3,汇编指令!$C$2:$D$235,2,FALSE),"-1")</f>
        <v>-1</v>
      </c>
      <c r="P100" s="32" t="str">
        <f>_xlfn.IFNA(VLOOKUP($C100&amp;","&amp;P3,汇编指令!$C$2:$D$235,2,FALSE),"-1")</f>
        <v>-1</v>
      </c>
      <c r="Q100" s="32" t="str">
        <f>_xlfn.IFNA(VLOOKUP($C100&amp;","&amp;Q3,汇编指令!$C$2:$D$235,2,FALSE),"-1")</f>
        <v>-1</v>
      </c>
      <c r="R100" s="32" t="str">
        <f>_xlfn.IFNA(VLOOKUP($C100&amp;","&amp;R3,汇编指令!$C$2:$D$235,2,FALSE),"-1")</f>
        <v>-1</v>
      </c>
      <c r="S100" s="32" t="str">
        <f>_xlfn.IFNA(VLOOKUP($C100&amp;","&amp;S3,汇编指令!$C$2:$D$235,2,FALSE),"-1")</f>
        <v>-1</v>
      </c>
      <c r="T100" s="32" t="str">
        <f>_xlfn.IFNA(VLOOKUP($C100&amp;","&amp;T3,汇编指令!$C$2:$D$235,2,FALSE),"-1")</f>
        <v>-1</v>
      </c>
      <c r="U100" s="32" t="str">
        <f>_xlfn.IFNA(VLOOKUP($C100&amp;","&amp;U3,汇编指令!$C$2:$D$235,2,FALSE),"-1")</f>
        <v>-1</v>
      </c>
      <c r="V100" s="32" t="str">
        <f>_xlfn.IFNA(VLOOKUP($C100&amp;","&amp;V3,汇编指令!$C$2:$D$235,2,FALSE),"-1")</f>
        <v>-1</v>
      </c>
      <c r="W100" s="32" t="str">
        <f>_xlfn.IFNA(VLOOKUP($C100&amp;","&amp;W3,汇编指令!$C$2:$D$235,2,FALSE),"-1")</f>
        <v>-1</v>
      </c>
      <c r="X100" s="32" t="str">
        <f>_xlfn.IFNA(VLOOKUP($C100&amp;","&amp;X3,汇编指令!$C$2:$D$235,2,FALSE),"-1")</f>
        <v>-1</v>
      </c>
      <c r="Y100" s="32" t="str">
        <f>_xlfn.IFNA(VLOOKUP($C100&amp;","&amp;Y3,汇编指令!$C$2:$D$235,2,FALSE),"-1")</f>
        <v>-1</v>
      </c>
      <c r="Z100" s="32" t="str">
        <f>_xlfn.IFNA(VLOOKUP($C100&amp;","&amp;Z3,汇编指令!$C$2:$D$235,2,FALSE),"-1")</f>
        <v>-1</v>
      </c>
      <c r="AA100" s="32" t="str">
        <f>_xlfn.IFNA(VLOOKUP($C100&amp;","&amp;AA3,汇编指令!$C$2:$D$235,2,FALSE),"-1")</f>
        <v>-1</v>
      </c>
      <c r="AB100" s="53" t="str">
        <f>_xlfn.IFNA(VLOOKUP($C100&amp;","&amp;AB3,汇编指令!$C$2:$D$235,2,FALSE),"-1")</f>
        <v>-1</v>
      </c>
    </row>
    <row r="101" ht="20" customHeight="1" spans="1:28">
      <c r="A101" s="16">
        <v>3</v>
      </c>
      <c r="B101" s="21">
        <f t="shared" si="3"/>
        <v>97</v>
      </c>
      <c r="C101" s="36" t="s">
        <v>1016</v>
      </c>
      <c r="D101" s="23" t="str">
        <f t="shared" si="4"/>
        <v>61</v>
      </c>
      <c r="E101" s="34" t="str">
        <f>_xlfn.IFNA(VLOOKUP($C101&amp;","&amp;E3,汇编指令!$C$2:$D$235,2,FALSE),"-1")</f>
        <v>-1</v>
      </c>
      <c r="F101" s="32" t="str">
        <f>_xlfn.IFNA(VLOOKUP($C101&amp;","&amp;F3,汇编指令!$C$2:$D$235,2,FALSE),"-1")</f>
        <v>-1</v>
      </c>
      <c r="G101" s="32" t="str">
        <f>_xlfn.IFNA(VLOOKUP($C101&amp;","&amp;G3,汇编指令!$C$2:$D$235,2,FALSE),"-1")</f>
        <v>-1</v>
      </c>
      <c r="H101" s="32" t="str">
        <f>_xlfn.IFNA(VLOOKUP($C101&amp;","&amp;H3,汇编指令!$C$2:$D$235,2,FALSE),"-1")</f>
        <v>-1</v>
      </c>
      <c r="I101" s="32" t="str">
        <f>_xlfn.IFNA(VLOOKUP($C101&amp;","&amp;I3,汇编指令!$C$2:$D$235,2,FALSE),"-1")</f>
        <v>-1</v>
      </c>
      <c r="J101" s="32" t="str">
        <f>_xlfn.IFNA(VLOOKUP($C101&amp;","&amp;J3,汇编指令!$C$2:$D$235,2,FALSE),"-1")</f>
        <v>-1</v>
      </c>
      <c r="K101" s="32" t="str">
        <f>_xlfn.IFNA(VLOOKUP($C101&amp;","&amp;K3,汇编指令!$C$2:$D$235,2,FALSE),"-1")</f>
        <v>-1</v>
      </c>
      <c r="L101" s="32" t="str">
        <f>_xlfn.IFNA(VLOOKUP($C101&amp;","&amp;L3,汇编指令!$C$2:$D$235,2,FALSE),"-1")</f>
        <v>-1</v>
      </c>
      <c r="M101" s="32" t="str">
        <f>_xlfn.IFNA(VLOOKUP($C101&amp;","&amp;M3,汇编指令!$C$2:$D$235,2,FALSE),"-1")</f>
        <v>-1</v>
      </c>
      <c r="N101" s="32" t="str">
        <f>_xlfn.IFNA(VLOOKUP($C101&amp;","&amp;N3,汇编指令!$C$2:$D$235,2,FALSE),"-1")</f>
        <v>-1</v>
      </c>
      <c r="O101" s="32" t="str">
        <f>_xlfn.IFNA(VLOOKUP($C101&amp;","&amp;O3,汇编指令!$C$2:$D$235,2,FALSE),"-1")</f>
        <v>-1</v>
      </c>
      <c r="P101" s="32" t="str">
        <f>_xlfn.IFNA(VLOOKUP($C101&amp;","&amp;P3,汇编指令!$C$2:$D$235,2,FALSE),"-1")</f>
        <v>-1</v>
      </c>
      <c r="Q101" s="32" t="str">
        <f>_xlfn.IFNA(VLOOKUP($C101&amp;","&amp;Q3,汇编指令!$C$2:$D$235,2,FALSE),"-1")</f>
        <v>-1</v>
      </c>
      <c r="R101" s="32" t="str">
        <f>_xlfn.IFNA(VLOOKUP($C101&amp;","&amp;R3,汇编指令!$C$2:$D$235,2,FALSE),"-1")</f>
        <v>-1</v>
      </c>
      <c r="S101" s="32" t="str">
        <f>_xlfn.IFNA(VLOOKUP($C101&amp;","&amp;S3,汇编指令!$C$2:$D$235,2,FALSE),"-1")</f>
        <v>-1</v>
      </c>
      <c r="T101" s="32" t="str">
        <f>_xlfn.IFNA(VLOOKUP($C101&amp;","&amp;T3,汇编指令!$C$2:$D$235,2,FALSE),"-1")</f>
        <v>-1</v>
      </c>
      <c r="U101" s="32" t="str">
        <f>_xlfn.IFNA(VLOOKUP($C101&amp;","&amp;U3,汇编指令!$C$2:$D$235,2,FALSE),"-1")</f>
        <v>-1</v>
      </c>
      <c r="V101" s="32" t="str">
        <f>_xlfn.IFNA(VLOOKUP($C101&amp;","&amp;V3,汇编指令!$C$2:$D$235,2,FALSE),"-1")</f>
        <v>-1</v>
      </c>
      <c r="W101" s="32" t="str">
        <f>_xlfn.IFNA(VLOOKUP($C101&amp;","&amp;W3,汇编指令!$C$2:$D$235,2,FALSE),"-1")</f>
        <v>-1</v>
      </c>
      <c r="X101" s="33" t="str">
        <f>_xlfn.IFNA(VLOOKUP($C101&amp;","&amp;X3,汇编指令!$C$2:$D$235,2,FALSE),"-1")</f>
        <v>B6</v>
      </c>
      <c r="Y101" s="32" t="str">
        <f>_xlfn.IFNA(VLOOKUP($C101&amp;","&amp;Y3,汇编指令!$C$2:$D$235,2,FALSE),"-1")</f>
        <v>-1</v>
      </c>
      <c r="Z101" s="32" t="str">
        <f>_xlfn.IFNA(VLOOKUP($C101&amp;","&amp;Z3,汇编指令!$C$2:$D$235,2,FALSE),"-1")</f>
        <v>-1</v>
      </c>
      <c r="AA101" s="32" t="str">
        <f>_xlfn.IFNA(VLOOKUP($C101&amp;","&amp;AA3,汇编指令!$C$2:$D$235,2,FALSE),"-1")</f>
        <v>-1</v>
      </c>
      <c r="AB101" s="53" t="str">
        <f>_xlfn.IFNA(VLOOKUP($C101&amp;","&amp;AB3,汇编指令!$C$2:$D$235,2,FALSE),"-1")</f>
        <v>-1</v>
      </c>
    </row>
    <row r="102" ht="20" customHeight="1" spans="1:28">
      <c r="A102" s="16">
        <v>3</v>
      </c>
      <c r="B102" s="21">
        <f t="shared" si="3"/>
        <v>98</v>
      </c>
      <c r="C102" s="36" t="s">
        <v>1017</v>
      </c>
      <c r="D102" s="23" t="str">
        <f t="shared" si="4"/>
        <v>62</v>
      </c>
      <c r="E102" s="34" t="str">
        <f>_xlfn.IFNA(VLOOKUP($C102&amp;","&amp;E3,汇编指令!$C$2:$D$235,2,FALSE),"-1")</f>
        <v>-1</v>
      </c>
      <c r="F102" s="32" t="str">
        <f>_xlfn.IFNA(VLOOKUP($C102&amp;","&amp;F3,汇编指令!$C$2:$D$235,2,FALSE),"-1")</f>
        <v>-1</v>
      </c>
      <c r="G102" s="32" t="str">
        <f>_xlfn.IFNA(VLOOKUP($C102&amp;","&amp;G3,汇编指令!$C$2:$D$235,2,FALSE),"-1")</f>
        <v>-1</v>
      </c>
      <c r="H102" s="32" t="str">
        <f>_xlfn.IFNA(VLOOKUP($C102&amp;","&amp;H3,汇编指令!$C$2:$D$235,2,FALSE),"-1")</f>
        <v>-1</v>
      </c>
      <c r="I102" s="32" t="str">
        <f>_xlfn.IFNA(VLOOKUP($C102&amp;","&amp;I3,汇编指令!$C$2:$D$235,2,FALSE),"-1")</f>
        <v>-1</v>
      </c>
      <c r="J102" s="32" t="str">
        <f>_xlfn.IFNA(VLOOKUP($C102&amp;","&amp;J3,汇编指令!$C$2:$D$235,2,FALSE),"-1")</f>
        <v>-1</v>
      </c>
      <c r="K102" s="32" t="str">
        <f>_xlfn.IFNA(VLOOKUP($C102&amp;","&amp;K3,汇编指令!$C$2:$D$235,2,FALSE),"-1")</f>
        <v>-1</v>
      </c>
      <c r="L102" s="32" t="str">
        <f>_xlfn.IFNA(VLOOKUP($C102&amp;","&amp;L3,汇编指令!$C$2:$D$235,2,FALSE),"-1")</f>
        <v>-1</v>
      </c>
      <c r="M102" s="32" t="str">
        <f>_xlfn.IFNA(VLOOKUP($C102&amp;","&amp;M3,汇编指令!$C$2:$D$235,2,FALSE),"-1")</f>
        <v>-1</v>
      </c>
      <c r="N102" s="32" t="str">
        <f>_xlfn.IFNA(VLOOKUP($C102&amp;","&amp;N3,汇编指令!$C$2:$D$235,2,FALSE),"-1")</f>
        <v>-1</v>
      </c>
      <c r="O102" s="32" t="str">
        <f>_xlfn.IFNA(VLOOKUP($C102&amp;","&amp;O3,汇编指令!$C$2:$D$235,2,FALSE),"-1")</f>
        <v>-1</v>
      </c>
      <c r="P102" s="32" t="str">
        <f>_xlfn.IFNA(VLOOKUP($C102&amp;","&amp;P3,汇编指令!$C$2:$D$235,2,FALSE),"-1")</f>
        <v>-1</v>
      </c>
      <c r="Q102" s="32" t="str">
        <f>_xlfn.IFNA(VLOOKUP($C102&amp;","&amp;Q3,汇编指令!$C$2:$D$235,2,FALSE),"-1")</f>
        <v>-1</v>
      </c>
      <c r="R102" s="32" t="str">
        <f>_xlfn.IFNA(VLOOKUP($C102&amp;","&amp;R3,汇编指令!$C$2:$D$235,2,FALSE),"-1")</f>
        <v>-1</v>
      </c>
      <c r="S102" s="32" t="str">
        <f>_xlfn.IFNA(VLOOKUP($C102&amp;","&amp;S3,汇编指令!$C$2:$D$235,2,FALSE),"-1")</f>
        <v>-1</v>
      </c>
      <c r="T102" s="32" t="str">
        <f>_xlfn.IFNA(VLOOKUP($C102&amp;","&amp;T3,汇编指令!$C$2:$D$235,2,FALSE),"-1")</f>
        <v>-1</v>
      </c>
      <c r="U102" s="32" t="str">
        <f>_xlfn.IFNA(VLOOKUP($C102&amp;","&amp;U3,汇编指令!$C$2:$D$235,2,FALSE),"-1")</f>
        <v>-1</v>
      </c>
      <c r="V102" s="32" t="str">
        <f>_xlfn.IFNA(VLOOKUP($C102&amp;","&amp;V3,汇编指令!$C$2:$D$235,2,FALSE),"-1")</f>
        <v>-1</v>
      </c>
      <c r="W102" s="32" t="str">
        <f>_xlfn.IFNA(VLOOKUP($C102&amp;","&amp;W3,汇编指令!$C$2:$D$235,2,FALSE),"-1")</f>
        <v>-1</v>
      </c>
      <c r="X102" s="33" t="str">
        <f>_xlfn.IFNA(VLOOKUP($C102&amp;","&amp;X3,汇编指令!$C$2:$D$235,2,FALSE),"-1")</f>
        <v>B7</v>
      </c>
      <c r="Y102" s="32" t="str">
        <f>_xlfn.IFNA(VLOOKUP($C102&amp;","&amp;Y3,汇编指令!$C$2:$D$235,2,FALSE),"-1")</f>
        <v>-1</v>
      </c>
      <c r="Z102" s="32" t="str">
        <f>_xlfn.IFNA(VLOOKUP($C102&amp;","&amp;Z3,汇编指令!$C$2:$D$235,2,FALSE),"-1")</f>
        <v>-1</v>
      </c>
      <c r="AA102" s="32" t="str">
        <f>_xlfn.IFNA(VLOOKUP($C102&amp;","&amp;AA3,汇编指令!$C$2:$D$235,2,FALSE),"-1")</f>
        <v>-1</v>
      </c>
      <c r="AB102" s="53" t="str">
        <f>_xlfn.IFNA(VLOOKUP($C102&amp;","&amp;AB3,汇编指令!$C$2:$D$235,2,FALSE),"-1")</f>
        <v>-1</v>
      </c>
    </row>
    <row r="103" ht="20" customHeight="1" spans="1:28">
      <c r="A103" s="16">
        <v>3</v>
      </c>
      <c r="B103" s="21">
        <f t="shared" si="3"/>
        <v>99</v>
      </c>
      <c r="C103" s="36" t="s">
        <v>1018</v>
      </c>
      <c r="D103" s="23" t="str">
        <f t="shared" si="4"/>
        <v>63</v>
      </c>
      <c r="E103" s="34" t="str">
        <f>_xlfn.IFNA(VLOOKUP($C103&amp;","&amp;E3,汇编指令!$C$2:$D$235,2,FALSE),"-1")</f>
        <v>-1</v>
      </c>
      <c r="F103" s="32" t="str">
        <f>_xlfn.IFNA(VLOOKUP($C103&amp;","&amp;F3,汇编指令!$C$2:$D$235,2,FALSE),"-1")</f>
        <v>-1</v>
      </c>
      <c r="G103" s="32" t="str">
        <f>_xlfn.IFNA(VLOOKUP($C103&amp;","&amp;G3,汇编指令!$C$2:$D$235,2,FALSE),"-1")</f>
        <v>-1</v>
      </c>
      <c r="H103" s="32" t="str">
        <f>_xlfn.IFNA(VLOOKUP($C103&amp;","&amp;H3,汇编指令!$C$2:$D$235,2,FALSE),"-1")</f>
        <v>-1</v>
      </c>
      <c r="I103" s="32" t="str">
        <f>_xlfn.IFNA(VLOOKUP($C103&amp;","&amp;I3,汇编指令!$C$2:$D$235,2,FALSE),"-1")</f>
        <v>-1</v>
      </c>
      <c r="J103" s="32" t="str">
        <f>_xlfn.IFNA(VLOOKUP($C103&amp;","&amp;J3,汇编指令!$C$2:$D$235,2,FALSE),"-1")</f>
        <v>-1</v>
      </c>
      <c r="K103" s="32" t="str">
        <f>_xlfn.IFNA(VLOOKUP($C103&amp;","&amp;K3,汇编指令!$C$2:$D$235,2,FALSE),"-1")</f>
        <v>-1</v>
      </c>
      <c r="L103" s="32" t="str">
        <f>_xlfn.IFNA(VLOOKUP($C103&amp;","&amp;L3,汇编指令!$C$2:$D$235,2,FALSE),"-1")</f>
        <v>-1</v>
      </c>
      <c r="M103" s="32" t="str">
        <f>_xlfn.IFNA(VLOOKUP($C103&amp;","&amp;M3,汇编指令!$C$2:$D$235,2,FALSE),"-1")</f>
        <v>-1</v>
      </c>
      <c r="N103" s="32" t="str">
        <f>_xlfn.IFNA(VLOOKUP($C103&amp;","&amp;N3,汇编指令!$C$2:$D$235,2,FALSE),"-1")</f>
        <v>-1</v>
      </c>
      <c r="O103" s="32" t="str">
        <f>_xlfn.IFNA(VLOOKUP($C103&amp;","&amp;O3,汇编指令!$C$2:$D$235,2,FALSE),"-1")</f>
        <v>-1</v>
      </c>
      <c r="P103" s="32" t="str">
        <f>_xlfn.IFNA(VLOOKUP($C103&amp;","&amp;P3,汇编指令!$C$2:$D$235,2,FALSE),"-1")</f>
        <v>-1</v>
      </c>
      <c r="Q103" s="32" t="str">
        <f>_xlfn.IFNA(VLOOKUP($C103&amp;","&amp;Q3,汇编指令!$C$2:$D$235,2,FALSE),"-1")</f>
        <v>-1</v>
      </c>
      <c r="R103" s="32" t="str">
        <f>_xlfn.IFNA(VLOOKUP($C103&amp;","&amp;R3,汇编指令!$C$2:$D$235,2,FALSE),"-1")</f>
        <v>-1</v>
      </c>
      <c r="S103" s="32" t="str">
        <f>_xlfn.IFNA(VLOOKUP($C103&amp;","&amp;S3,汇编指令!$C$2:$D$235,2,FALSE),"-1")</f>
        <v>-1</v>
      </c>
      <c r="T103" s="32" t="str">
        <f>_xlfn.IFNA(VLOOKUP($C103&amp;","&amp;T3,汇编指令!$C$2:$D$235,2,FALSE),"-1")</f>
        <v>-1</v>
      </c>
      <c r="U103" s="32" t="str">
        <f>_xlfn.IFNA(VLOOKUP($C103&amp;","&amp;U3,汇编指令!$C$2:$D$235,2,FALSE),"-1")</f>
        <v>-1</v>
      </c>
      <c r="V103" s="32" t="str">
        <f>_xlfn.IFNA(VLOOKUP($C103&amp;","&amp;V3,汇编指令!$C$2:$D$235,2,FALSE),"-1")</f>
        <v>-1</v>
      </c>
      <c r="W103" s="32" t="str">
        <f>_xlfn.IFNA(VLOOKUP($C103&amp;","&amp;W3,汇编指令!$C$2:$D$235,2,FALSE),"-1")</f>
        <v>-1</v>
      </c>
      <c r="X103" s="33" t="str">
        <f>_xlfn.IFNA(VLOOKUP($C103&amp;","&amp;X3,汇编指令!$C$2:$D$235,2,FALSE),"-1")</f>
        <v>B4</v>
      </c>
      <c r="Y103" s="32" t="str">
        <f>_xlfn.IFNA(VLOOKUP($C103&amp;","&amp;Y3,汇编指令!$C$2:$D$235,2,FALSE),"-1")</f>
        <v>-1</v>
      </c>
      <c r="Z103" s="32" t="str">
        <f>_xlfn.IFNA(VLOOKUP($C103&amp;","&amp;Z3,汇编指令!$C$2:$D$235,2,FALSE),"-1")</f>
        <v>-1</v>
      </c>
      <c r="AA103" s="32" t="str">
        <f>_xlfn.IFNA(VLOOKUP($C103&amp;","&amp;AA3,汇编指令!$C$2:$D$235,2,FALSE),"-1")</f>
        <v>-1</v>
      </c>
      <c r="AB103" s="53" t="str">
        <f>_xlfn.IFNA(VLOOKUP($C103&amp;","&amp;AB3,汇编指令!$C$2:$D$235,2,FALSE),"-1")</f>
        <v>-1</v>
      </c>
    </row>
    <row r="104" ht="20" customHeight="1" spans="1:28">
      <c r="A104" s="16">
        <v>3</v>
      </c>
      <c r="B104" s="21">
        <f t="shared" si="3"/>
        <v>100</v>
      </c>
      <c r="C104" s="36" t="s">
        <v>1019</v>
      </c>
      <c r="D104" s="23" t="str">
        <f t="shared" si="4"/>
        <v>64</v>
      </c>
      <c r="E104" s="34" t="str">
        <f>_xlfn.IFNA(VLOOKUP($C104&amp;","&amp;E3,汇编指令!$C$2:$D$235,2,FALSE),"-1")</f>
        <v>-1</v>
      </c>
      <c r="F104" s="32" t="str">
        <f>_xlfn.IFNA(VLOOKUP($C104&amp;","&amp;F3,汇编指令!$C$2:$D$235,2,FALSE),"-1")</f>
        <v>-1</v>
      </c>
      <c r="G104" s="32" t="str">
        <f>_xlfn.IFNA(VLOOKUP($C104&amp;","&amp;G3,汇编指令!$C$2:$D$235,2,FALSE),"-1")</f>
        <v>-1</v>
      </c>
      <c r="H104" s="32" t="str">
        <f>_xlfn.IFNA(VLOOKUP($C104&amp;","&amp;H3,汇编指令!$C$2:$D$235,2,FALSE),"-1")</f>
        <v>-1</v>
      </c>
      <c r="I104" s="32" t="str">
        <f>_xlfn.IFNA(VLOOKUP($C104&amp;","&amp;I3,汇编指令!$C$2:$D$235,2,FALSE),"-1")</f>
        <v>-1</v>
      </c>
      <c r="J104" s="32" t="str">
        <f>_xlfn.IFNA(VLOOKUP($C104&amp;","&amp;J3,汇编指令!$C$2:$D$235,2,FALSE),"-1")</f>
        <v>-1</v>
      </c>
      <c r="K104" s="32" t="str">
        <f>_xlfn.IFNA(VLOOKUP($C104&amp;","&amp;K3,汇编指令!$C$2:$D$235,2,FALSE),"-1")</f>
        <v>-1</v>
      </c>
      <c r="L104" s="32" t="str">
        <f>_xlfn.IFNA(VLOOKUP($C104&amp;","&amp;L3,汇编指令!$C$2:$D$235,2,FALSE),"-1")</f>
        <v>-1</v>
      </c>
      <c r="M104" s="32" t="str">
        <f>_xlfn.IFNA(VLOOKUP($C104&amp;","&amp;M3,汇编指令!$C$2:$D$235,2,FALSE),"-1")</f>
        <v>-1</v>
      </c>
      <c r="N104" s="32" t="str">
        <f>_xlfn.IFNA(VLOOKUP($C104&amp;","&amp;N3,汇编指令!$C$2:$D$235,2,FALSE),"-1")</f>
        <v>-1</v>
      </c>
      <c r="O104" s="32" t="str">
        <f>_xlfn.IFNA(VLOOKUP($C104&amp;","&amp;O3,汇编指令!$C$2:$D$235,2,FALSE),"-1")</f>
        <v>-1</v>
      </c>
      <c r="P104" s="32" t="str">
        <f>_xlfn.IFNA(VLOOKUP($C104&amp;","&amp;P3,汇编指令!$C$2:$D$235,2,FALSE),"-1")</f>
        <v>-1</v>
      </c>
      <c r="Q104" s="32" t="str">
        <f>_xlfn.IFNA(VLOOKUP($C104&amp;","&amp;Q3,汇编指令!$C$2:$D$235,2,FALSE),"-1")</f>
        <v>-1</v>
      </c>
      <c r="R104" s="32" t="str">
        <f>_xlfn.IFNA(VLOOKUP($C104&amp;","&amp;R3,汇编指令!$C$2:$D$235,2,FALSE),"-1")</f>
        <v>-1</v>
      </c>
      <c r="S104" s="32" t="str">
        <f>_xlfn.IFNA(VLOOKUP($C104&amp;","&amp;S3,汇编指令!$C$2:$D$235,2,FALSE),"-1")</f>
        <v>-1</v>
      </c>
      <c r="T104" s="32" t="str">
        <f>_xlfn.IFNA(VLOOKUP($C104&amp;","&amp;T3,汇编指令!$C$2:$D$235,2,FALSE),"-1")</f>
        <v>-1</v>
      </c>
      <c r="U104" s="32" t="str">
        <f>_xlfn.IFNA(VLOOKUP($C104&amp;","&amp;U3,汇编指令!$C$2:$D$235,2,FALSE),"-1")</f>
        <v>-1</v>
      </c>
      <c r="V104" s="32" t="str">
        <f>_xlfn.IFNA(VLOOKUP($C104&amp;","&amp;V3,汇编指令!$C$2:$D$235,2,FALSE),"-1")</f>
        <v>-1</v>
      </c>
      <c r="W104" s="32" t="str">
        <f>_xlfn.IFNA(VLOOKUP($C104&amp;","&amp;W3,汇编指令!$C$2:$D$235,2,FALSE),"-1")</f>
        <v>-1</v>
      </c>
      <c r="X104" s="33" t="str">
        <f>_xlfn.IFNA(VLOOKUP($C104&amp;","&amp;X3,汇编指令!$C$2:$D$235,2,FALSE),"-1")</f>
        <v>B5</v>
      </c>
      <c r="Y104" s="32" t="str">
        <f>_xlfn.IFNA(VLOOKUP($C104&amp;","&amp;Y3,汇编指令!$C$2:$D$235,2,FALSE),"-1")</f>
        <v>-1</v>
      </c>
      <c r="Z104" s="32" t="str">
        <f>_xlfn.IFNA(VLOOKUP($C104&amp;","&amp;Z3,汇编指令!$C$2:$D$235,2,FALSE),"-1")</f>
        <v>-1</v>
      </c>
      <c r="AA104" s="32" t="str">
        <f>_xlfn.IFNA(VLOOKUP($C104&amp;","&amp;AA3,汇编指令!$C$2:$D$235,2,FALSE),"-1")</f>
        <v>-1</v>
      </c>
      <c r="AB104" s="53" t="str">
        <f>_xlfn.IFNA(VLOOKUP($C104&amp;","&amp;AB3,汇编指令!$C$2:$D$235,2,FALSE),"-1")</f>
        <v>-1</v>
      </c>
    </row>
    <row r="105" ht="20" customHeight="1" spans="1:28">
      <c r="A105" s="16">
        <v>3</v>
      </c>
      <c r="B105" s="21">
        <f t="shared" si="3"/>
        <v>101</v>
      </c>
      <c r="C105" s="36" t="s">
        <v>1020</v>
      </c>
      <c r="D105" s="23" t="str">
        <f t="shared" si="4"/>
        <v>65</v>
      </c>
      <c r="E105" s="34" t="str">
        <f>_xlfn.IFNA(VLOOKUP($C105&amp;","&amp;E3,汇编指令!$C$2:$D$235,2,FALSE),"-1")</f>
        <v>-1</v>
      </c>
      <c r="F105" s="32" t="str">
        <f>_xlfn.IFNA(VLOOKUP($C105&amp;","&amp;F3,汇编指令!$C$2:$D$235,2,FALSE),"-1")</f>
        <v>-1</v>
      </c>
      <c r="G105" s="32" t="str">
        <f>_xlfn.IFNA(VLOOKUP($C105&amp;","&amp;G3,汇编指令!$C$2:$D$235,2,FALSE),"-1")</f>
        <v>-1</v>
      </c>
      <c r="H105" s="32" t="str">
        <f>_xlfn.IFNA(VLOOKUP($C105&amp;","&amp;H3,汇编指令!$C$2:$D$235,2,FALSE),"-1")</f>
        <v>-1</v>
      </c>
      <c r="I105" s="32" t="str">
        <f>_xlfn.IFNA(VLOOKUP($C105&amp;","&amp;I3,汇编指令!$C$2:$D$235,2,FALSE),"-1")</f>
        <v>-1</v>
      </c>
      <c r="J105" s="32" t="str">
        <f>_xlfn.IFNA(VLOOKUP($C105&amp;","&amp;J3,汇编指令!$C$2:$D$235,2,FALSE),"-1")</f>
        <v>-1</v>
      </c>
      <c r="K105" s="32" t="str">
        <f>_xlfn.IFNA(VLOOKUP($C105&amp;","&amp;K3,汇编指令!$C$2:$D$235,2,FALSE),"-1")</f>
        <v>-1</v>
      </c>
      <c r="L105" s="32" t="str">
        <f>_xlfn.IFNA(VLOOKUP($C105&amp;","&amp;L3,汇编指令!$C$2:$D$235,2,FALSE),"-1")</f>
        <v>-1</v>
      </c>
      <c r="M105" s="32" t="str">
        <f>_xlfn.IFNA(VLOOKUP($C105&amp;","&amp;M3,汇编指令!$C$2:$D$235,2,FALSE),"-1")</f>
        <v>-1</v>
      </c>
      <c r="N105" s="32" t="str">
        <f>_xlfn.IFNA(VLOOKUP($C105&amp;","&amp;N3,汇编指令!$C$2:$D$235,2,FALSE),"-1")</f>
        <v>-1</v>
      </c>
      <c r="O105" s="32" t="str">
        <f>_xlfn.IFNA(VLOOKUP($C105&amp;","&amp;O3,汇编指令!$C$2:$D$235,2,FALSE),"-1")</f>
        <v>-1</v>
      </c>
      <c r="P105" s="32" t="str">
        <f>_xlfn.IFNA(VLOOKUP($C105&amp;","&amp;P3,汇编指令!$C$2:$D$235,2,FALSE),"-1")</f>
        <v>-1</v>
      </c>
      <c r="Q105" s="32" t="str">
        <f>_xlfn.IFNA(VLOOKUP($C105&amp;","&amp;Q3,汇编指令!$C$2:$D$235,2,FALSE),"-1")</f>
        <v>-1</v>
      </c>
      <c r="R105" s="32" t="str">
        <f>_xlfn.IFNA(VLOOKUP($C105&amp;","&amp;R3,汇编指令!$C$2:$D$235,2,FALSE),"-1")</f>
        <v>-1</v>
      </c>
      <c r="S105" s="32" t="str">
        <f>_xlfn.IFNA(VLOOKUP($C105&amp;","&amp;S3,汇编指令!$C$2:$D$235,2,FALSE),"-1")</f>
        <v>-1</v>
      </c>
      <c r="T105" s="32" t="str">
        <f>_xlfn.IFNA(VLOOKUP($C105&amp;","&amp;T3,汇编指令!$C$2:$D$235,2,FALSE),"-1")</f>
        <v>-1</v>
      </c>
      <c r="U105" s="32" t="str">
        <f>_xlfn.IFNA(VLOOKUP($C105&amp;","&amp;U3,汇编指令!$C$2:$D$235,2,FALSE),"-1")</f>
        <v>-1</v>
      </c>
      <c r="V105" s="32" t="str">
        <f>_xlfn.IFNA(VLOOKUP($C105&amp;","&amp;V3,汇编指令!$C$2:$D$235,2,FALSE),"-1")</f>
        <v>-1</v>
      </c>
      <c r="W105" s="32" t="str">
        <f>_xlfn.IFNA(VLOOKUP($C105&amp;","&amp;W3,汇编指令!$C$2:$D$235,2,FALSE),"-1")</f>
        <v>-1</v>
      </c>
      <c r="X105" s="33" t="str">
        <f>_xlfn.IFNA(VLOOKUP($C105&amp;","&amp;X3,汇编指令!$C$2:$D$235,2,FALSE),"-1")</f>
        <v>B8</v>
      </c>
      <c r="Y105" s="32" t="str">
        <f>_xlfn.IFNA(VLOOKUP($C105&amp;","&amp;Y3,汇编指令!$C$2:$D$235,2,FALSE),"-1")</f>
        <v>-1</v>
      </c>
      <c r="Z105" s="32" t="str">
        <f>_xlfn.IFNA(VLOOKUP($C105&amp;","&amp;Z3,汇编指令!$C$2:$D$235,2,FALSE),"-1")</f>
        <v>-1</v>
      </c>
      <c r="AA105" s="32" t="str">
        <f>_xlfn.IFNA(VLOOKUP($C105&amp;","&amp;AA3,汇编指令!$C$2:$D$235,2,FALSE),"-1")</f>
        <v>-1</v>
      </c>
      <c r="AB105" s="53" t="str">
        <f>_xlfn.IFNA(VLOOKUP($C105&amp;","&amp;AB3,汇编指令!$C$2:$D$235,2,FALSE),"-1")</f>
        <v>-1</v>
      </c>
    </row>
    <row r="106" ht="20" customHeight="1" spans="1:28">
      <c r="A106" s="16">
        <v>3</v>
      </c>
      <c r="B106" s="21">
        <f t="shared" si="3"/>
        <v>102</v>
      </c>
      <c r="C106" s="36" t="s">
        <v>1021</v>
      </c>
      <c r="D106" s="23" t="str">
        <f t="shared" si="4"/>
        <v>66</v>
      </c>
      <c r="E106" s="34" t="str">
        <f>_xlfn.IFNA(VLOOKUP($C106&amp;","&amp;E3,汇编指令!$C$2:$D$235,2,FALSE),"-1")</f>
        <v>-1</v>
      </c>
      <c r="F106" s="32" t="str">
        <f>_xlfn.IFNA(VLOOKUP($C106&amp;","&amp;F3,汇编指令!$C$2:$D$235,2,FALSE),"-1")</f>
        <v>-1</v>
      </c>
      <c r="G106" s="32" t="str">
        <f>_xlfn.IFNA(VLOOKUP($C106&amp;","&amp;G3,汇编指令!$C$2:$D$235,2,FALSE),"-1")</f>
        <v>-1</v>
      </c>
      <c r="H106" s="32" t="str">
        <f>_xlfn.IFNA(VLOOKUP($C106&amp;","&amp;H3,汇编指令!$C$2:$D$235,2,FALSE),"-1")</f>
        <v>-1</v>
      </c>
      <c r="I106" s="32" t="str">
        <f>_xlfn.IFNA(VLOOKUP($C106&amp;","&amp;I3,汇编指令!$C$2:$D$235,2,FALSE),"-1")</f>
        <v>-1</v>
      </c>
      <c r="J106" s="32" t="str">
        <f>_xlfn.IFNA(VLOOKUP($C106&amp;","&amp;J3,汇编指令!$C$2:$D$235,2,FALSE),"-1")</f>
        <v>-1</v>
      </c>
      <c r="K106" s="32" t="str">
        <f>_xlfn.IFNA(VLOOKUP($C106&amp;","&amp;K3,汇编指令!$C$2:$D$235,2,FALSE),"-1")</f>
        <v>-1</v>
      </c>
      <c r="L106" s="32" t="str">
        <f>_xlfn.IFNA(VLOOKUP($C106&amp;","&amp;L3,汇编指令!$C$2:$D$235,2,FALSE),"-1")</f>
        <v>-1</v>
      </c>
      <c r="M106" s="32" t="str">
        <f>_xlfn.IFNA(VLOOKUP($C106&amp;","&amp;M3,汇编指令!$C$2:$D$235,2,FALSE),"-1")</f>
        <v>-1</v>
      </c>
      <c r="N106" s="32" t="str">
        <f>_xlfn.IFNA(VLOOKUP($C106&amp;","&amp;N3,汇编指令!$C$2:$D$235,2,FALSE),"-1")</f>
        <v>-1</v>
      </c>
      <c r="O106" s="32" t="str">
        <f>_xlfn.IFNA(VLOOKUP($C106&amp;","&amp;O3,汇编指令!$C$2:$D$235,2,FALSE),"-1")</f>
        <v>-1</v>
      </c>
      <c r="P106" s="32" t="str">
        <f>_xlfn.IFNA(VLOOKUP($C106&amp;","&amp;P3,汇编指令!$C$2:$D$235,2,FALSE),"-1")</f>
        <v>-1</v>
      </c>
      <c r="Q106" s="32" t="str">
        <f>_xlfn.IFNA(VLOOKUP($C106&amp;","&amp;Q3,汇编指令!$C$2:$D$235,2,FALSE),"-1")</f>
        <v>-1</v>
      </c>
      <c r="R106" s="32" t="str">
        <f>_xlfn.IFNA(VLOOKUP($C106&amp;","&amp;R3,汇编指令!$C$2:$D$235,2,FALSE),"-1")</f>
        <v>-1</v>
      </c>
      <c r="S106" s="32" t="str">
        <f>_xlfn.IFNA(VLOOKUP($C106&amp;","&amp;S3,汇编指令!$C$2:$D$235,2,FALSE),"-1")</f>
        <v>-1</v>
      </c>
      <c r="T106" s="32" t="str">
        <f>_xlfn.IFNA(VLOOKUP($C106&amp;","&amp;T3,汇编指令!$C$2:$D$235,2,FALSE),"-1")</f>
        <v>-1</v>
      </c>
      <c r="U106" s="32" t="str">
        <f>_xlfn.IFNA(VLOOKUP($C106&amp;","&amp;U3,汇编指令!$C$2:$D$235,2,FALSE),"-1")</f>
        <v>-1</v>
      </c>
      <c r="V106" s="32" t="str">
        <f>_xlfn.IFNA(VLOOKUP($C106&amp;","&amp;V3,汇编指令!$C$2:$D$235,2,FALSE),"-1")</f>
        <v>-1</v>
      </c>
      <c r="W106" s="32" t="str">
        <f>_xlfn.IFNA(VLOOKUP($C106&amp;","&amp;W3,汇编指令!$C$2:$D$235,2,FALSE),"-1")</f>
        <v>-1</v>
      </c>
      <c r="X106" s="33" t="str">
        <f>_xlfn.IFNA(VLOOKUP($C106&amp;","&amp;X3,汇编指令!$C$2:$D$235,2,FALSE),"-1")</f>
        <v>B9</v>
      </c>
      <c r="Y106" s="32" t="str">
        <f>_xlfn.IFNA(VLOOKUP($C106&amp;","&amp;Y3,汇编指令!$C$2:$D$235,2,FALSE),"-1")</f>
        <v>-1</v>
      </c>
      <c r="Z106" s="32" t="str">
        <f>_xlfn.IFNA(VLOOKUP($C106&amp;","&amp;Z3,汇编指令!$C$2:$D$235,2,FALSE),"-1")</f>
        <v>-1</v>
      </c>
      <c r="AA106" s="32" t="str">
        <f>_xlfn.IFNA(VLOOKUP($C106&amp;","&amp;AA3,汇编指令!$C$2:$D$235,2,FALSE),"-1")</f>
        <v>-1</v>
      </c>
      <c r="AB106" s="53" t="str">
        <f>_xlfn.IFNA(VLOOKUP($C106&amp;","&amp;AB3,汇编指令!$C$2:$D$235,2,FALSE),"-1")</f>
        <v>-1</v>
      </c>
    </row>
    <row r="107" ht="20" customHeight="1" spans="1:28">
      <c r="A107" s="16">
        <v>3</v>
      </c>
      <c r="B107" s="21">
        <f t="shared" si="3"/>
        <v>103</v>
      </c>
      <c r="C107" s="36" t="s">
        <v>1022</v>
      </c>
      <c r="D107" s="23" t="str">
        <f t="shared" si="4"/>
        <v>67</v>
      </c>
      <c r="E107" s="34" t="str">
        <f>_xlfn.IFNA(VLOOKUP($C107&amp;","&amp;E3,汇编指令!$C$2:$D$235,2,FALSE),"-1")</f>
        <v>-1</v>
      </c>
      <c r="F107" s="32" t="str">
        <f>_xlfn.IFNA(VLOOKUP($C107&amp;","&amp;F3,汇编指令!$C$2:$D$235,2,FALSE),"-1")</f>
        <v>-1</v>
      </c>
      <c r="G107" s="32" t="str">
        <f>_xlfn.IFNA(VLOOKUP($C107&amp;","&amp;G3,汇编指令!$C$2:$D$235,2,FALSE),"-1")</f>
        <v>-1</v>
      </c>
      <c r="H107" s="32" t="str">
        <f>_xlfn.IFNA(VLOOKUP($C107&amp;","&amp;H3,汇编指令!$C$2:$D$235,2,FALSE),"-1")</f>
        <v>-1</v>
      </c>
      <c r="I107" s="32" t="str">
        <f>_xlfn.IFNA(VLOOKUP($C107&amp;","&amp;I3,汇编指令!$C$2:$D$235,2,FALSE),"-1")</f>
        <v>-1</v>
      </c>
      <c r="J107" s="32" t="str">
        <f>_xlfn.IFNA(VLOOKUP($C107&amp;","&amp;J3,汇编指令!$C$2:$D$235,2,FALSE),"-1")</f>
        <v>-1</v>
      </c>
      <c r="K107" s="32" t="str">
        <f>_xlfn.IFNA(VLOOKUP($C107&amp;","&amp;K3,汇编指令!$C$2:$D$235,2,FALSE),"-1")</f>
        <v>-1</v>
      </c>
      <c r="L107" s="32" t="str">
        <f>_xlfn.IFNA(VLOOKUP($C107&amp;","&amp;L3,汇编指令!$C$2:$D$235,2,FALSE),"-1")</f>
        <v>-1</v>
      </c>
      <c r="M107" s="32" t="str">
        <f>_xlfn.IFNA(VLOOKUP($C107&amp;","&amp;M3,汇编指令!$C$2:$D$235,2,FALSE),"-1")</f>
        <v>-1</v>
      </c>
      <c r="N107" s="32" t="str">
        <f>_xlfn.IFNA(VLOOKUP($C107&amp;","&amp;N3,汇编指令!$C$2:$D$235,2,FALSE),"-1")</f>
        <v>-1</v>
      </c>
      <c r="O107" s="32" t="str">
        <f>_xlfn.IFNA(VLOOKUP($C107&amp;","&amp;O3,汇编指令!$C$2:$D$235,2,FALSE),"-1")</f>
        <v>-1</v>
      </c>
      <c r="P107" s="32" t="str">
        <f>_xlfn.IFNA(VLOOKUP($C107&amp;","&amp;P3,汇编指令!$C$2:$D$235,2,FALSE),"-1")</f>
        <v>-1</v>
      </c>
      <c r="Q107" s="32" t="str">
        <f>_xlfn.IFNA(VLOOKUP($C107&amp;","&amp;Q3,汇编指令!$C$2:$D$235,2,FALSE),"-1")</f>
        <v>-1</v>
      </c>
      <c r="R107" s="32" t="str">
        <f>_xlfn.IFNA(VLOOKUP($C107&amp;","&amp;R3,汇编指令!$C$2:$D$235,2,FALSE),"-1")</f>
        <v>-1</v>
      </c>
      <c r="S107" s="32" t="str">
        <f>_xlfn.IFNA(VLOOKUP($C107&amp;","&amp;S3,汇编指令!$C$2:$D$235,2,FALSE),"-1")</f>
        <v>-1</v>
      </c>
      <c r="T107" s="32" t="str">
        <f>_xlfn.IFNA(VLOOKUP($C107&amp;","&amp;T3,汇编指令!$C$2:$D$235,2,FALSE),"-1")</f>
        <v>-1</v>
      </c>
      <c r="U107" s="32" t="str">
        <f>_xlfn.IFNA(VLOOKUP($C107&amp;","&amp;U3,汇编指令!$C$2:$D$235,2,FALSE),"-1")</f>
        <v>-1</v>
      </c>
      <c r="V107" s="32" t="str">
        <f>_xlfn.IFNA(VLOOKUP($C107&amp;","&amp;V3,汇编指令!$C$2:$D$235,2,FALSE),"-1")</f>
        <v>-1</v>
      </c>
      <c r="W107" s="32" t="str">
        <f>_xlfn.IFNA(VLOOKUP($C107&amp;","&amp;W3,汇编指令!$C$2:$D$235,2,FALSE),"-1")</f>
        <v>-1</v>
      </c>
      <c r="X107" s="33" t="str">
        <f>_xlfn.IFNA(VLOOKUP($C107&amp;","&amp;X3,汇编指令!$C$2:$D$235,2,FALSE),"-1")</f>
        <v>BA</v>
      </c>
      <c r="Y107" s="32" t="str">
        <f>_xlfn.IFNA(VLOOKUP($C107&amp;","&amp;Y3,汇编指令!$C$2:$D$235,2,FALSE),"-1")</f>
        <v>-1</v>
      </c>
      <c r="Z107" s="32" t="str">
        <f>_xlfn.IFNA(VLOOKUP($C107&amp;","&amp;Z3,汇编指令!$C$2:$D$235,2,FALSE),"-1")</f>
        <v>-1</v>
      </c>
      <c r="AA107" s="32" t="str">
        <f>_xlfn.IFNA(VLOOKUP($C107&amp;","&amp;AA3,汇编指令!$C$2:$D$235,2,FALSE),"-1")</f>
        <v>-1</v>
      </c>
      <c r="AB107" s="53" t="str">
        <f>_xlfn.IFNA(VLOOKUP($C107&amp;","&amp;AB3,汇编指令!$C$2:$D$235,2,FALSE),"-1")</f>
        <v>-1</v>
      </c>
    </row>
    <row r="108" ht="20" customHeight="1" spans="1:28">
      <c r="A108" s="16">
        <v>3</v>
      </c>
      <c r="B108" s="21">
        <f t="shared" si="3"/>
        <v>104</v>
      </c>
      <c r="C108" s="36" t="s">
        <v>1023</v>
      </c>
      <c r="D108" s="23" t="str">
        <f t="shared" si="4"/>
        <v>68</v>
      </c>
      <c r="E108" s="34" t="str">
        <f>_xlfn.IFNA(VLOOKUP($C108&amp;","&amp;E3,汇编指令!$C$2:$D$235,2,FALSE),"-1")</f>
        <v>-1</v>
      </c>
      <c r="F108" s="32" t="str">
        <f>_xlfn.IFNA(VLOOKUP($C108&amp;","&amp;F3,汇编指令!$C$2:$D$235,2,FALSE),"-1")</f>
        <v>-1</v>
      </c>
      <c r="G108" s="32" t="str">
        <f>_xlfn.IFNA(VLOOKUP($C108&amp;","&amp;G3,汇编指令!$C$2:$D$235,2,FALSE),"-1")</f>
        <v>-1</v>
      </c>
      <c r="H108" s="32" t="str">
        <f>_xlfn.IFNA(VLOOKUP($C108&amp;","&amp;H3,汇编指令!$C$2:$D$235,2,FALSE),"-1")</f>
        <v>-1</v>
      </c>
      <c r="I108" s="32" t="str">
        <f>_xlfn.IFNA(VLOOKUP($C108&amp;","&amp;I3,汇编指令!$C$2:$D$235,2,FALSE),"-1")</f>
        <v>-1</v>
      </c>
      <c r="J108" s="32" t="str">
        <f>_xlfn.IFNA(VLOOKUP($C108&amp;","&amp;J3,汇编指令!$C$2:$D$235,2,FALSE),"-1")</f>
        <v>-1</v>
      </c>
      <c r="K108" s="32" t="str">
        <f>_xlfn.IFNA(VLOOKUP($C108&amp;","&amp;K3,汇编指令!$C$2:$D$235,2,FALSE),"-1")</f>
        <v>-1</v>
      </c>
      <c r="L108" s="32" t="str">
        <f>_xlfn.IFNA(VLOOKUP($C108&amp;","&amp;L3,汇编指令!$C$2:$D$235,2,FALSE),"-1")</f>
        <v>-1</v>
      </c>
      <c r="M108" s="32" t="str">
        <f>_xlfn.IFNA(VLOOKUP($C108&amp;","&amp;M3,汇编指令!$C$2:$D$235,2,FALSE),"-1")</f>
        <v>-1</v>
      </c>
      <c r="N108" s="32" t="str">
        <f>_xlfn.IFNA(VLOOKUP($C108&amp;","&amp;N3,汇编指令!$C$2:$D$235,2,FALSE),"-1")</f>
        <v>-1</v>
      </c>
      <c r="O108" s="32" t="str">
        <f>_xlfn.IFNA(VLOOKUP($C108&amp;","&amp;O3,汇编指令!$C$2:$D$235,2,FALSE),"-1")</f>
        <v>-1</v>
      </c>
      <c r="P108" s="32" t="str">
        <f>_xlfn.IFNA(VLOOKUP($C108&amp;","&amp;P3,汇编指令!$C$2:$D$235,2,FALSE),"-1")</f>
        <v>-1</v>
      </c>
      <c r="Q108" s="32" t="str">
        <f>_xlfn.IFNA(VLOOKUP($C108&amp;","&amp;Q3,汇编指令!$C$2:$D$235,2,FALSE),"-1")</f>
        <v>-1</v>
      </c>
      <c r="R108" s="32" t="str">
        <f>_xlfn.IFNA(VLOOKUP($C108&amp;","&amp;R3,汇编指令!$C$2:$D$235,2,FALSE),"-1")</f>
        <v>-1</v>
      </c>
      <c r="S108" s="32" t="str">
        <f>_xlfn.IFNA(VLOOKUP($C108&amp;","&amp;S3,汇编指令!$C$2:$D$235,2,FALSE),"-1")</f>
        <v>-1</v>
      </c>
      <c r="T108" s="32" t="str">
        <f>_xlfn.IFNA(VLOOKUP($C108&amp;","&amp;T3,汇编指令!$C$2:$D$235,2,FALSE),"-1")</f>
        <v>-1</v>
      </c>
      <c r="U108" s="32" t="str">
        <f>_xlfn.IFNA(VLOOKUP($C108&amp;","&amp;U3,汇编指令!$C$2:$D$235,2,FALSE),"-1")</f>
        <v>-1</v>
      </c>
      <c r="V108" s="32" t="str">
        <f>_xlfn.IFNA(VLOOKUP($C108&amp;","&amp;V3,汇编指令!$C$2:$D$235,2,FALSE),"-1")</f>
        <v>-1</v>
      </c>
      <c r="W108" s="32" t="str">
        <f>_xlfn.IFNA(VLOOKUP($C108&amp;","&amp;W3,汇编指令!$C$2:$D$235,2,FALSE),"-1")</f>
        <v>-1</v>
      </c>
      <c r="X108" s="33" t="str">
        <f>_xlfn.IFNA(VLOOKUP($C108&amp;","&amp;X3,汇编指令!$C$2:$D$235,2,FALSE),"-1")</f>
        <v>BB</v>
      </c>
      <c r="Y108" s="32" t="str">
        <f>_xlfn.IFNA(VLOOKUP($C108&amp;","&amp;Y3,汇编指令!$C$2:$D$235,2,FALSE),"-1")</f>
        <v>-1</v>
      </c>
      <c r="Z108" s="32" t="str">
        <f>_xlfn.IFNA(VLOOKUP($C108&amp;","&amp;Z3,汇编指令!$C$2:$D$235,2,FALSE),"-1")</f>
        <v>-1</v>
      </c>
      <c r="AA108" s="32" t="str">
        <f>_xlfn.IFNA(VLOOKUP($C108&amp;","&amp;AA3,汇编指令!$C$2:$D$235,2,FALSE),"-1")</f>
        <v>-1</v>
      </c>
      <c r="AB108" s="53" t="str">
        <f>_xlfn.IFNA(VLOOKUP($C108&amp;","&amp;AB3,汇编指令!$C$2:$D$235,2,FALSE),"-1")</f>
        <v>-1</v>
      </c>
    </row>
    <row r="109" ht="20" customHeight="1" spans="1:28">
      <c r="A109" s="16">
        <v>3</v>
      </c>
      <c r="B109" s="21">
        <f t="shared" si="3"/>
        <v>105</v>
      </c>
      <c r="C109" s="36" t="s">
        <v>1024</v>
      </c>
      <c r="D109" s="23" t="str">
        <f t="shared" si="4"/>
        <v>69</v>
      </c>
      <c r="E109" s="34" t="str">
        <f>_xlfn.IFNA(VLOOKUP($C109&amp;","&amp;E3,汇编指令!$C$2:$D$235,2,FALSE),"-1")</f>
        <v>-1</v>
      </c>
      <c r="F109" s="32" t="str">
        <f>_xlfn.IFNA(VLOOKUP($C109&amp;","&amp;F3,汇编指令!$C$2:$D$235,2,FALSE),"-1")</f>
        <v>-1</v>
      </c>
      <c r="G109" s="32" t="str">
        <f>_xlfn.IFNA(VLOOKUP($C109&amp;","&amp;G3,汇编指令!$C$2:$D$235,2,FALSE),"-1")</f>
        <v>-1</v>
      </c>
      <c r="H109" s="32" t="str">
        <f>_xlfn.IFNA(VLOOKUP($C109&amp;","&amp;H3,汇编指令!$C$2:$D$235,2,FALSE),"-1")</f>
        <v>-1</v>
      </c>
      <c r="I109" s="32" t="str">
        <f>_xlfn.IFNA(VLOOKUP($C109&amp;","&amp;I3,汇编指令!$C$2:$D$235,2,FALSE),"-1")</f>
        <v>-1</v>
      </c>
      <c r="J109" s="32" t="str">
        <f>_xlfn.IFNA(VLOOKUP($C109&amp;","&amp;J3,汇编指令!$C$2:$D$235,2,FALSE),"-1")</f>
        <v>-1</v>
      </c>
      <c r="K109" s="32" t="str">
        <f>_xlfn.IFNA(VLOOKUP($C109&amp;","&amp;K3,汇编指令!$C$2:$D$235,2,FALSE),"-1")</f>
        <v>-1</v>
      </c>
      <c r="L109" s="32" t="str">
        <f>_xlfn.IFNA(VLOOKUP($C109&amp;","&amp;L3,汇编指令!$C$2:$D$235,2,FALSE),"-1")</f>
        <v>-1</v>
      </c>
      <c r="M109" s="32" t="str">
        <f>_xlfn.IFNA(VLOOKUP($C109&amp;","&amp;M3,汇编指令!$C$2:$D$235,2,FALSE),"-1")</f>
        <v>-1</v>
      </c>
      <c r="N109" s="32" t="str">
        <f>_xlfn.IFNA(VLOOKUP($C109&amp;","&amp;N3,汇编指令!$C$2:$D$235,2,FALSE),"-1")</f>
        <v>-1</v>
      </c>
      <c r="O109" s="32" t="str">
        <f>_xlfn.IFNA(VLOOKUP($C109&amp;","&amp;O3,汇编指令!$C$2:$D$235,2,FALSE),"-1")</f>
        <v>-1</v>
      </c>
      <c r="P109" s="32" t="str">
        <f>_xlfn.IFNA(VLOOKUP($C109&amp;","&amp;P3,汇编指令!$C$2:$D$235,2,FALSE),"-1")</f>
        <v>-1</v>
      </c>
      <c r="Q109" s="32" t="str">
        <f>_xlfn.IFNA(VLOOKUP($C109&amp;","&amp;Q3,汇编指令!$C$2:$D$235,2,FALSE),"-1")</f>
        <v>-1</v>
      </c>
      <c r="R109" s="32" t="str">
        <f>_xlfn.IFNA(VLOOKUP($C109&amp;","&amp;R3,汇编指令!$C$2:$D$235,2,FALSE),"-1")</f>
        <v>-1</v>
      </c>
      <c r="S109" s="32" t="str">
        <f>_xlfn.IFNA(VLOOKUP($C109&amp;","&amp;S3,汇编指令!$C$2:$D$235,2,FALSE),"-1")</f>
        <v>-1</v>
      </c>
      <c r="T109" s="32" t="str">
        <f>_xlfn.IFNA(VLOOKUP($C109&amp;","&amp;T3,汇编指令!$C$2:$D$235,2,FALSE),"-1")</f>
        <v>-1</v>
      </c>
      <c r="U109" s="32" t="str">
        <f>_xlfn.IFNA(VLOOKUP($C109&amp;","&amp;U3,汇编指令!$C$2:$D$235,2,FALSE),"-1")</f>
        <v>-1</v>
      </c>
      <c r="V109" s="32" t="str">
        <f>_xlfn.IFNA(VLOOKUP($C109&amp;","&amp;V3,汇编指令!$C$2:$D$235,2,FALSE),"-1")</f>
        <v>-1</v>
      </c>
      <c r="W109" s="32" t="str">
        <f>_xlfn.IFNA(VLOOKUP($C109&amp;","&amp;W3,汇编指令!$C$2:$D$235,2,FALSE),"-1")</f>
        <v>-1</v>
      </c>
      <c r="X109" s="33" t="str">
        <f>_xlfn.IFNA(VLOOKUP($C109&amp;","&amp;X3,汇编指令!$C$2:$D$235,2,FALSE),"-1")</f>
        <v>BC</v>
      </c>
      <c r="Y109" s="32" t="str">
        <f>_xlfn.IFNA(VLOOKUP($C109&amp;","&amp;Y3,汇编指令!$C$2:$D$235,2,FALSE),"-1")</f>
        <v>-1</v>
      </c>
      <c r="Z109" s="32" t="str">
        <f>_xlfn.IFNA(VLOOKUP($C109&amp;","&amp;Z3,汇编指令!$C$2:$D$235,2,FALSE),"-1")</f>
        <v>-1</v>
      </c>
      <c r="AA109" s="32" t="str">
        <f>_xlfn.IFNA(VLOOKUP($C109&amp;","&amp;AA3,汇编指令!$C$2:$D$235,2,FALSE),"-1")</f>
        <v>-1</v>
      </c>
      <c r="AB109" s="53" t="str">
        <f>_xlfn.IFNA(VLOOKUP($C109&amp;","&amp;AB3,汇编指令!$C$2:$D$235,2,FALSE),"-1")</f>
        <v>-1</v>
      </c>
    </row>
    <row r="110" ht="20" customHeight="1" spans="1:28">
      <c r="A110" s="16">
        <v>3</v>
      </c>
      <c r="B110" s="21">
        <f t="shared" si="3"/>
        <v>106</v>
      </c>
      <c r="C110" s="36" t="s">
        <v>1025</v>
      </c>
      <c r="D110" s="23" t="str">
        <f t="shared" si="4"/>
        <v>6A</v>
      </c>
      <c r="E110" s="34" t="str">
        <f>_xlfn.IFNA(VLOOKUP($C110&amp;","&amp;E3,汇编指令!$C$2:$D$235,2,FALSE),"-1")</f>
        <v>-1</v>
      </c>
      <c r="F110" s="32" t="str">
        <f>_xlfn.IFNA(VLOOKUP($C110&amp;","&amp;F3,汇编指令!$C$2:$D$235,2,FALSE),"-1")</f>
        <v>-1</v>
      </c>
      <c r="G110" s="32" t="str">
        <f>_xlfn.IFNA(VLOOKUP($C110&amp;","&amp;G3,汇编指令!$C$2:$D$235,2,FALSE),"-1")</f>
        <v>-1</v>
      </c>
      <c r="H110" s="32" t="str">
        <f>_xlfn.IFNA(VLOOKUP($C110&amp;","&amp;H3,汇编指令!$C$2:$D$235,2,FALSE),"-1")</f>
        <v>-1</v>
      </c>
      <c r="I110" s="32" t="str">
        <f>_xlfn.IFNA(VLOOKUP($C110&amp;","&amp;I3,汇编指令!$C$2:$D$235,2,FALSE),"-1")</f>
        <v>-1</v>
      </c>
      <c r="J110" s="32" t="str">
        <f>_xlfn.IFNA(VLOOKUP($C110&amp;","&amp;J3,汇编指令!$C$2:$D$235,2,FALSE),"-1")</f>
        <v>-1</v>
      </c>
      <c r="K110" s="32" t="str">
        <f>_xlfn.IFNA(VLOOKUP($C110&amp;","&amp;K3,汇编指令!$C$2:$D$235,2,FALSE),"-1")</f>
        <v>-1</v>
      </c>
      <c r="L110" s="32" t="str">
        <f>_xlfn.IFNA(VLOOKUP($C110&amp;","&amp;L3,汇编指令!$C$2:$D$235,2,FALSE),"-1")</f>
        <v>-1</v>
      </c>
      <c r="M110" s="32" t="str">
        <f>_xlfn.IFNA(VLOOKUP($C110&amp;","&amp;M3,汇编指令!$C$2:$D$235,2,FALSE),"-1")</f>
        <v>-1</v>
      </c>
      <c r="N110" s="32" t="str">
        <f>_xlfn.IFNA(VLOOKUP($C110&amp;","&amp;N3,汇编指令!$C$2:$D$235,2,FALSE),"-1")</f>
        <v>-1</v>
      </c>
      <c r="O110" s="32" t="str">
        <f>_xlfn.IFNA(VLOOKUP($C110&amp;","&amp;O3,汇编指令!$C$2:$D$235,2,FALSE),"-1")</f>
        <v>-1</v>
      </c>
      <c r="P110" s="32" t="str">
        <f>_xlfn.IFNA(VLOOKUP($C110&amp;","&amp;P3,汇编指令!$C$2:$D$235,2,FALSE),"-1")</f>
        <v>-1</v>
      </c>
      <c r="Q110" s="32" t="str">
        <f>_xlfn.IFNA(VLOOKUP($C110&amp;","&amp;Q3,汇编指令!$C$2:$D$235,2,FALSE),"-1")</f>
        <v>-1</v>
      </c>
      <c r="R110" s="32" t="str">
        <f>_xlfn.IFNA(VLOOKUP($C110&amp;","&amp;R3,汇编指令!$C$2:$D$235,2,FALSE),"-1")</f>
        <v>-1</v>
      </c>
      <c r="S110" s="32" t="str">
        <f>_xlfn.IFNA(VLOOKUP($C110&amp;","&amp;S3,汇编指令!$C$2:$D$235,2,FALSE),"-1")</f>
        <v>-1</v>
      </c>
      <c r="T110" s="32" t="str">
        <f>_xlfn.IFNA(VLOOKUP($C110&amp;","&amp;T3,汇编指令!$C$2:$D$235,2,FALSE),"-1")</f>
        <v>-1</v>
      </c>
      <c r="U110" s="32" t="str">
        <f>_xlfn.IFNA(VLOOKUP($C110&amp;","&amp;U3,汇编指令!$C$2:$D$235,2,FALSE),"-1")</f>
        <v>-1</v>
      </c>
      <c r="V110" s="32" t="str">
        <f>_xlfn.IFNA(VLOOKUP($C110&amp;","&amp;V3,汇编指令!$C$2:$D$235,2,FALSE),"-1")</f>
        <v>-1</v>
      </c>
      <c r="W110" s="32" t="str">
        <f>_xlfn.IFNA(VLOOKUP($C110&amp;","&amp;W3,汇编指令!$C$2:$D$235,2,FALSE),"-1")</f>
        <v>-1</v>
      </c>
      <c r="X110" s="33" t="str">
        <f>_xlfn.IFNA(VLOOKUP($C110&amp;","&amp;X3,汇编指令!$C$2:$D$235,2,FALSE),"-1")</f>
        <v>BD</v>
      </c>
      <c r="Y110" s="32" t="str">
        <f>_xlfn.IFNA(VLOOKUP($C110&amp;","&amp;Y3,汇编指令!$C$2:$D$235,2,FALSE),"-1")</f>
        <v>-1</v>
      </c>
      <c r="Z110" s="32" t="str">
        <f>_xlfn.IFNA(VLOOKUP($C110&amp;","&amp;Z3,汇编指令!$C$2:$D$235,2,FALSE),"-1")</f>
        <v>-1</v>
      </c>
      <c r="AA110" s="32" t="str">
        <f>_xlfn.IFNA(VLOOKUP($C110&amp;","&amp;AA3,汇编指令!$C$2:$D$235,2,FALSE),"-1")</f>
        <v>-1</v>
      </c>
      <c r="AB110" s="53" t="str">
        <f>_xlfn.IFNA(VLOOKUP($C110&amp;","&amp;AB3,汇编指令!$C$2:$D$235,2,FALSE),"-1")</f>
        <v>-1</v>
      </c>
    </row>
    <row r="111" ht="20" customHeight="1" spans="1:28">
      <c r="A111" s="16">
        <v>3</v>
      </c>
      <c r="B111" s="21">
        <f t="shared" si="3"/>
        <v>107</v>
      </c>
      <c r="C111" s="36" t="s">
        <v>1026</v>
      </c>
      <c r="D111" s="23" t="str">
        <f t="shared" si="4"/>
        <v>6B</v>
      </c>
      <c r="E111" s="34" t="str">
        <f>_xlfn.IFNA(VLOOKUP($C111&amp;","&amp;E3,汇编指令!$C$2:$D$235,2,FALSE),"-1")</f>
        <v>-1</v>
      </c>
      <c r="F111" s="32" t="str">
        <f>_xlfn.IFNA(VLOOKUP($C111&amp;","&amp;F3,汇编指令!$C$2:$D$235,2,FALSE),"-1")</f>
        <v>-1</v>
      </c>
      <c r="G111" s="32" t="str">
        <f>_xlfn.IFNA(VLOOKUP($C111&amp;","&amp;G3,汇编指令!$C$2:$D$235,2,FALSE),"-1")</f>
        <v>-1</v>
      </c>
      <c r="H111" s="32" t="str">
        <f>_xlfn.IFNA(VLOOKUP($C111&amp;","&amp;H3,汇编指令!$C$2:$D$235,2,FALSE),"-1")</f>
        <v>-1</v>
      </c>
      <c r="I111" s="32" t="str">
        <f>_xlfn.IFNA(VLOOKUP($C111&amp;","&amp;I3,汇编指令!$C$2:$D$235,2,FALSE),"-1")</f>
        <v>-1</v>
      </c>
      <c r="J111" s="32" t="str">
        <f>_xlfn.IFNA(VLOOKUP($C111&amp;","&amp;J3,汇编指令!$C$2:$D$235,2,FALSE),"-1")</f>
        <v>-1</v>
      </c>
      <c r="K111" s="32" t="str">
        <f>_xlfn.IFNA(VLOOKUP($C111&amp;","&amp;K3,汇编指令!$C$2:$D$235,2,FALSE),"-1")</f>
        <v>-1</v>
      </c>
      <c r="L111" s="32" t="str">
        <f>_xlfn.IFNA(VLOOKUP($C111&amp;","&amp;L3,汇编指令!$C$2:$D$235,2,FALSE),"-1")</f>
        <v>-1</v>
      </c>
      <c r="M111" s="32" t="str">
        <f>_xlfn.IFNA(VLOOKUP($C111&amp;","&amp;M3,汇编指令!$C$2:$D$235,2,FALSE),"-1")</f>
        <v>-1</v>
      </c>
      <c r="N111" s="32" t="str">
        <f>_xlfn.IFNA(VLOOKUP($C111&amp;","&amp;N3,汇编指令!$C$2:$D$235,2,FALSE),"-1")</f>
        <v>-1</v>
      </c>
      <c r="O111" s="32" t="str">
        <f>_xlfn.IFNA(VLOOKUP($C111&amp;","&amp;O3,汇编指令!$C$2:$D$235,2,FALSE),"-1")</f>
        <v>-1</v>
      </c>
      <c r="P111" s="32" t="str">
        <f>_xlfn.IFNA(VLOOKUP($C111&amp;","&amp;P3,汇编指令!$C$2:$D$235,2,FALSE),"-1")</f>
        <v>-1</v>
      </c>
      <c r="Q111" s="32" t="str">
        <f>_xlfn.IFNA(VLOOKUP($C111&amp;","&amp;Q3,汇编指令!$C$2:$D$235,2,FALSE),"-1")</f>
        <v>-1</v>
      </c>
      <c r="R111" s="32" t="str">
        <f>_xlfn.IFNA(VLOOKUP($C111&amp;","&amp;R3,汇编指令!$C$2:$D$235,2,FALSE),"-1")</f>
        <v>-1</v>
      </c>
      <c r="S111" s="32" t="str">
        <f>_xlfn.IFNA(VLOOKUP($C111&amp;","&amp;S3,汇编指令!$C$2:$D$235,2,FALSE),"-1")</f>
        <v>-1</v>
      </c>
      <c r="T111" s="32" t="str">
        <f>_xlfn.IFNA(VLOOKUP($C111&amp;","&amp;T3,汇编指令!$C$2:$D$235,2,FALSE),"-1")</f>
        <v>-1</v>
      </c>
      <c r="U111" s="32" t="str">
        <f>_xlfn.IFNA(VLOOKUP($C111&amp;","&amp;U3,汇编指令!$C$2:$D$235,2,FALSE),"-1")</f>
        <v>-1</v>
      </c>
      <c r="V111" s="32" t="str">
        <f>_xlfn.IFNA(VLOOKUP($C111&amp;","&amp;V3,汇编指令!$C$2:$D$235,2,FALSE),"-1")</f>
        <v>-1</v>
      </c>
      <c r="W111" s="32" t="str">
        <f>_xlfn.IFNA(VLOOKUP($C111&amp;","&amp;W3,汇编指令!$C$2:$D$235,2,FALSE),"-1")</f>
        <v>-1</v>
      </c>
      <c r="X111" s="33" t="str">
        <f>_xlfn.IFNA(VLOOKUP($C111&amp;","&amp;X3,汇编指令!$C$2:$D$235,2,FALSE),"-1")</f>
        <v>BE</v>
      </c>
      <c r="Y111" s="32" t="str">
        <f>_xlfn.IFNA(VLOOKUP($C111&amp;","&amp;Y3,汇编指令!$C$2:$D$235,2,FALSE),"-1")</f>
        <v>-1</v>
      </c>
      <c r="Z111" s="32" t="str">
        <f>_xlfn.IFNA(VLOOKUP($C111&amp;","&amp;Z3,汇编指令!$C$2:$D$235,2,FALSE),"-1")</f>
        <v>-1</v>
      </c>
      <c r="AA111" s="32" t="str">
        <f>_xlfn.IFNA(VLOOKUP($C111&amp;","&amp;AA3,汇编指令!$C$2:$D$235,2,FALSE),"-1")</f>
        <v>-1</v>
      </c>
      <c r="AB111" s="53" t="str">
        <f>_xlfn.IFNA(VLOOKUP($C111&amp;","&amp;AB3,汇编指令!$C$2:$D$235,2,FALSE),"-1")</f>
        <v>-1</v>
      </c>
    </row>
    <row r="112" ht="20" customHeight="1" spans="1:28">
      <c r="A112" s="16">
        <v>3</v>
      </c>
      <c r="B112" s="21">
        <f t="shared" si="3"/>
        <v>108</v>
      </c>
      <c r="C112" s="37" t="s">
        <v>1027</v>
      </c>
      <c r="D112" s="23" t="str">
        <f t="shared" si="4"/>
        <v>6C</v>
      </c>
      <c r="E112" s="38" t="str">
        <f>_xlfn.IFNA(VLOOKUP($C112&amp;","&amp;E3,汇编指令!$C$2:$D$235,2,FALSE),"-1")</f>
        <v>-1</v>
      </c>
      <c r="F112" s="39" t="str">
        <f>_xlfn.IFNA(VLOOKUP($C112&amp;","&amp;F3,汇编指令!$C$2:$D$235,2,FALSE),"-1")</f>
        <v>-1</v>
      </c>
      <c r="G112" s="39" t="str">
        <f>_xlfn.IFNA(VLOOKUP($C112&amp;","&amp;G3,汇编指令!$C$2:$D$235,2,FALSE),"-1")</f>
        <v>-1</v>
      </c>
      <c r="H112" s="39" t="str">
        <f>_xlfn.IFNA(VLOOKUP($C112&amp;","&amp;H3,汇编指令!$C$2:$D$235,2,FALSE),"-1")</f>
        <v>-1</v>
      </c>
      <c r="I112" s="39" t="str">
        <f>_xlfn.IFNA(VLOOKUP($C112&amp;","&amp;I3,汇编指令!$C$2:$D$235,2,FALSE),"-1")</f>
        <v>-1</v>
      </c>
      <c r="J112" s="39" t="str">
        <f>_xlfn.IFNA(VLOOKUP($C112&amp;","&amp;J3,汇编指令!$C$2:$D$235,2,FALSE),"-1")</f>
        <v>-1</v>
      </c>
      <c r="K112" s="39" t="str">
        <f>_xlfn.IFNA(VLOOKUP($C112&amp;","&amp;K3,汇编指令!$C$2:$D$235,2,FALSE),"-1")</f>
        <v>-1</v>
      </c>
      <c r="L112" s="39" t="str">
        <f>_xlfn.IFNA(VLOOKUP($C112&amp;","&amp;L3,汇编指令!$C$2:$D$235,2,FALSE),"-1")</f>
        <v>-1</v>
      </c>
      <c r="M112" s="39" t="str">
        <f>_xlfn.IFNA(VLOOKUP($C112&amp;","&amp;M3,汇编指令!$C$2:$D$235,2,FALSE),"-1")</f>
        <v>-1</v>
      </c>
      <c r="N112" s="39" t="str">
        <f>_xlfn.IFNA(VLOOKUP($C112&amp;","&amp;N3,汇编指令!$C$2:$D$235,2,FALSE),"-1")</f>
        <v>-1</v>
      </c>
      <c r="O112" s="39" t="str">
        <f>_xlfn.IFNA(VLOOKUP($C112&amp;","&amp;O3,汇编指令!$C$2:$D$235,2,FALSE),"-1")</f>
        <v>-1</v>
      </c>
      <c r="P112" s="39" t="str">
        <f>_xlfn.IFNA(VLOOKUP($C112&amp;","&amp;P3,汇编指令!$C$2:$D$235,2,FALSE),"-1")</f>
        <v>-1</v>
      </c>
      <c r="Q112" s="39" t="str">
        <f>_xlfn.IFNA(VLOOKUP($C112&amp;","&amp;Q3,汇编指令!$C$2:$D$235,2,FALSE),"-1")</f>
        <v>-1</v>
      </c>
      <c r="R112" s="39" t="str">
        <f>_xlfn.IFNA(VLOOKUP($C112&amp;","&amp;R3,汇编指令!$C$2:$D$235,2,FALSE),"-1")</f>
        <v>-1</v>
      </c>
      <c r="S112" s="39" t="str">
        <f>_xlfn.IFNA(VLOOKUP($C112&amp;","&amp;S3,汇编指令!$C$2:$D$235,2,FALSE),"-1")</f>
        <v>-1</v>
      </c>
      <c r="T112" s="39" t="str">
        <f>_xlfn.IFNA(VLOOKUP($C112&amp;","&amp;T3,汇编指令!$C$2:$D$235,2,FALSE),"-1")</f>
        <v>-1</v>
      </c>
      <c r="U112" s="39" t="str">
        <f>_xlfn.IFNA(VLOOKUP($C112&amp;","&amp;U3,汇编指令!$C$2:$D$235,2,FALSE),"-1")</f>
        <v>-1</v>
      </c>
      <c r="V112" s="39" t="str">
        <f>_xlfn.IFNA(VLOOKUP($C112&amp;","&amp;V3,汇编指令!$C$2:$D$235,2,FALSE),"-1")</f>
        <v>-1</v>
      </c>
      <c r="W112" s="39" t="str">
        <f>_xlfn.IFNA(VLOOKUP($C112&amp;","&amp;W3,汇编指令!$C$2:$D$235,2,FALSE),"-1")</f>
        <v>-1</v>
      </c>
      <c r="X112" s="40" t="str">
        <f>_xlfn.IFNA(VLOOKUP($C112&amp;","&amp;X3,汇编指令!$C$2:$D$235,2,FALSE),"-1")</f>
        <v>BF</v>
      </c>
      <c r="Y112" s="39" t="str">
        <f>_xlfn.IFNA(VLOOKUP($C112&amp;","&amp;Y3,汇编指令!$C$2:$D$235,2,FALSE),"-1")</f>
        <v>-1</v>
      </c>
      <c r="Z112" s="39" t="str">
        <f>_xlfn.IFNA(VLOOKUP($C112&amp;","&amp;Z3,汇编指令!$C$2:$D$235,2,FALSE),"-1")</f>
        <v>-1</v>
      </c>
      <c r="AA112" s="39" t="str">
        <f>_xlfn.IFNA(VLOOKUP($C112&amp;","&amp;AA3,汇编指令!$C$2:$D$235,2,FALSE),"-1")</f>
        <v>-1</v>
      </c>
      <c r="AB112" s="56" t="str">
        <f>_xlfn.IFNA(VLOOKUP($C112&amp;","&amp;AB3,汇编指令!$C$2:$D$235,2,FALSE),"-1")</f>
        <v>-1</v>
      </c>
    </row>
  </sheetData>
  <mergeCells count="1">
    <mergeCell ref="A1:Z1"/>
  </mergeCells>
  <conditionalFormatting sqref="C4:C112">
    <cfRule type="duplicateValues" dxfId="0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2"/>
  <sheetViews>
    <sheetView workbookViewId="0">
      <pane ySplit="3" topLeftCell="A4" activePane="bottomLeft" state="frozen"/>
      <selection/>
      <selection pane="bottomLeft" activeCell="O13" sqref="O13"/>
    </sheetView>
  </sheetViews>
  <sheetFormatPr defaultColWidth="9.23076923076923" defaultRowHeight="16.8"/>
  <cols>
    <col min="2" max="2" width="4.48076923076923" style="8" customWidth="1"/>
    <col min="3" max="3" width="17.4711538461538" style="1" customWidth="1"/>
    <col min="4" max="4" width="7.36538461538461" style="9" customWidth="1"/>
    <col min="5" max="13" width="4.69230769230769" customWidth="1"/>
    <col min="14" max="18" width="6.69230769230769" customWidth="1"/>
    <col min="20" max="20" width="8.17307692307692" customWidth="1"/>
    <col min="21" max="21" width="11.0480769230769" customWidth="1"/>
    <col min="22" max="22" width="8.48076923076923" customWidth="1"/>
    <col min="23" max="23" width="6.69230769230769" customWidth="1"/>
    <col min="24" max="26" width="4.69230769230769" customWidth="1"/>
    <col min="27" max="28" width="4.69230769230769" style="1" customWidth="1"/>
  </cols>
  <sheetData>
    <row r="1" ht="37" customHeight="1" spans="1:26">
      <c r="A1" s="10" t="s">
        <v>900</v>
      </c>
      <c r="B1" s="9"/>
      <c r="C1" s="10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" customHeight="1" spans="1:28">
      <c r="A2" s="12"/>
      <c r="B2" s="13"/>
      <c r="C2" s="12"/>
      <c r="D2" s="13"/>
      <c r="E2" s="14">
        <f t="shared" ref="E2:AB2" si="0">COLUMN()-3</f>
        <v>2</v>
      </c>
      <c r="F2" s="14">
        <f t="shared" si="0"/>
        <v>3</v>
      </c>
      <c r="G2" s="14">
        <f t="shared" si="0"/>
        <v>4</v>
      </c>
      <c r="H2" s="14">
        <f t="shared" si="0"/>
        <v>5</v>
      </c>
      <c r="I2" s="14">
        <f t="shared" si="0"/>
        <v>6</v>
      </c>
      <c r="J2" s="14">
        <f t="shared" si="0"/>
        <v>7</v>
      </c>
      <c r="K2" s="14">
        <f t="shared" si="0"/>
        <v>8</v>
      </c>
      <c r="L2" s="14">
        <f t="shared" si="0"/>
        <v>9</v>
      </c>
      <c r="M2" s="14">
        <f t="shared" si="0"/>
        <v>10</v>
      </c>
      <c r="N2" s="14">
        <f t="shared" si="0"/>
        <v>11</v>
      </c>
      <c r="O2" s="14">
        <f t="shared" si="0"/>
        <v>12</v>
      </c>
      <c r="P2" s="14">
        <f t="shared" si="0"/>
        <v>13</v>
      </c>
      <c r="Q2" s="14">
        <f t="shared" si="0"/>
        <v>14</v>
      </c>
      <c r="R2" s="14">
        <f t="shared" si="0"/>
        <v>15</v>
      </c>
      <c r="S2" s="14">
        <f t="shared" si="0"/>
        <v>16</v>
      </c>
      <c r="T2" s="14">
        <f t="shared" si="0"/>
        <v>17</v>
      </c>
      <c r="U2" s="14">
        <f t="shared" si="0"/>
        <v>18</v>
      </c>
      <c r="V2" s="14">
        <f t="shared" si="0"/>
        <v>19</v>
      </c>
      <c r="W2" s="14">
        <f t="shared" si="0"/>
        <v>20</v>
      </c>
      <c r="X2" s="14">
        <f t="shared" si="0"/>
        <v>21</v>
      </c>
      <c r="Y2" s="14">
        <f t="shared" si="0"/>
        <v>22</v>
      </c>
      <c r="Z2" s="14">
        <f t="shared" si="0"/>
        <v>23</v>
      </c>
      <c r="AA2" s="14">
        <f t="shared" si="0"/>
        <v>24</v>
      </c>
      <c r="AB2" s="14">
        <f t="shared" si="0"/>
        <v>25</v>
      </c>
    </row>
    <row r="3" ht="20" customHeight="1" spans="1:28">
      <c r="A3" s="14" t="s">
        <v>901</v>
      </c>
      <c r="B3" s="15"/>
      <c r="C3" s="14" t="s">
        <v>902</v>
      </c>
      <c r="D3" s="15"/>
      <c r="E3" s="25" t="s">
        <v>903</v>
      </c>
      <c r="F3" s="25" t="s">
        <v>54</v>
      </c>
      <c r="G3" s="25" t="s">
        <v>58</v>
      </c>
      <c r="H3" s="25" t="s">
        <v>60</v>
      </c>
      <c r="I3" s="25" t="s">
        <v>62</v>
      </c>
      <c r="J3" s="25" t="s">
        <v>64</v>
      </c>
      <c r="K3" s="25" t="s">
        <v>65</v>
      </c>
      <c r="L3" s="25" t="s">
        <v>66</v>
      </c>
      <c r="M3" s="25" t="s">
        <v>67</v>
      </c>
      <c r="N3" t="s">
        <v>904</v>
      </c>
      <c r="O3" s="25" t="s">
        <v>905</v>
      </c>
      <c r="P3" s="25" t="s">
        <v>906</v>
      </c>
      <c r="Q3" s="25" t="s">
        <v>907</v>
      </c>
      <c r="R3" s="25" t="s">
        <v>908</v>
      </c>
      <c r="S3" s="25" t="s">
        <v>909</v>
      </c>
      <c r="T3" s="25" t="s">
        <v>910</v>
      </c>
      <c r="U3" s="25" t="s">
        <v>911</v>
      </c>
      <c r="V3" s="25" t="s">
        <v>912</v>
      </c>
      <c r="W3" s="25" t="s">
        <v>913</v>
      </c>
      <c r="X3" s="25" t="s">
        <v>914</v>
      </c>
      <c r="Y3" s="25" t="s">
        <v>915</v>
      </c>
      <c r="Z3" s="25" t="s">
        <v>916</v>
      </c>
      <c r="AA3" s="25" t="s">
        <v>917</v>
      </c>
      <c r="AB3" s="14" t="s">
        <v>918</v>
      </c>
    </row>
    <row r="4" ht="20" customHeight="1" spans="1:28">
      <c r="A4" s="16">
        <v>0</v>
      </c>
      <c r="B4" s="15">
        <f t="shared" ref="B4:B67" si="1">ROW()-4</f>
        <v>0</v>
      </c>
      <c r="C4" s="17" t="s">
        <v>919</v>
      </c>
      <c r="D4" s="18" t="str">
        <f t="shared" ref="D4:D67" si="2">DEC2HEX(B4)</f>
        <v>0</v>
      </c>
      <c r="E4" s="26" t="str">
        <f>_xlfn.IFNA(VLOOKUP($C4&amp;","&amp;E3,$C$69:$D$112,2,FALSE),"")</f>
        <v/>
      </c>
      <c r="F4" s="26" t="str">
        <f>_xlfn.IFNA(VLOOKUP($C4&amp;","&amp;F3,$C$69:$D$112,2,FALSE),"")</f>
        <v/>
      </c>
      <c r="G4" s="26" t="str">
        <f>_xlfn.IFNA(VLOOKUP($C4&amp;","&amp;G3,$C$69:$D$112,2,FALSE),"")</f>
        <v/>
      </c>
      <c r="H4" s="26" t="str">
        <f>_xlfn.IFNA(VLOOKUP($C4&amp;","&amp;H3,$C$69:$D$112,2,FALSE),"")</f>
        <v/>
      </c>
      <c r="I4" s="26" t="str">
        <f>_xlfn.IFNA(VLOOKUP($C4&amp;","&amp;I3,$C$69:$D$112,2,FALSE),"")</f>
        <v/>
      </c>
      <c r="J4" s="26" t="str">
        <f>_xlfn.IFNA(VLOOKUP($C4&amp;","&amp;J3,$C$69:$D$112,2,FALSE),"")</f>
        <v/>
      </c>
      <c r="K4" s="26" t="str">
        <f>_xlfn.IFNA(VLOOKUP($C4&amp;","&amp;K3,$C$69:$D$112,2,FALSE),"")</f>
        <v/>
      </c>
      <c r="L4" s="26" t="str">
        <f>_xlfn.IFNA(VLOOKUP($C4&amp;","&amp;L3,$C$69:$D$112,2,FALSE),"")</f>
        <v/>
      </c>
      <c r="M4" s="26" t="str">
        <f>_xlfn.IFNA(VLOOKUP($C4&amp;","&amp;M3,$C$69:$D$112,2,FALSE),"")</f>
        <v/>
      </c>
      <c r="N4" s="26" t="str">
        <f>_xlfn.IFNA(VLOOKUP($C4&amp;","&amp;N3,$C$69:$D$112,2,FALSE),"")</f>
        <v/>
      </c>
      <c r="O4" s="26" t="str">
        <f>_xlfn.IFNA(VLOOKUP($C4&amp;","&amp;O3,$C$69:$D$112,2,FALSE),"")</f>
        <v/>
      </c>
      <c r="P4" s="26" t="str">
        <f>_xlfn.IFNA(VLOOKUP($C4&amp;","&amp;P3,$C$69:$D$112,2,FALSE),"")</f>
        <v/>
      </c>
      <c r="Q4" s="26" t="str">
        <f>_xlfn.IFNA(VLOOKUP($C4&amp;","&amp;Q3,$C$69:$D$112,2,FALSE),"")</f>
        <v/>
      </c>
      <c r="R4" s="26" t="str">
        <f>_xlfn.IFNA(VLOOKUP($C4&amp;","&amp;R3,$C$69:$D$112,2,FALSE),"")</f>
        <v/>
      </c>
      <c r="S4" s="26" t="str">
        <f>_xlfn.IFNA(VLOOKUP($C4&amp;","&amp;S3,$C$69:$D$112,2,FALSE),"")</f>
        <v/>
      </c>
      <c r="T4" s="26" t="str">
        <f>_xlfn.IFNA(VLOOKUP($C4&amp;","&amp;T3,$C$69:$D$112,2,FALSE),"")</f>
        <v/>
      </c>
      <c r="U4" s="26" t="str">
        <f>_xlfn.IFNA(VLOOKUP($C4&amp;","&amp;U3,$C$69:$D$112,2,FALSE),"")</f>
        <v/>
      </c>
      <c r="V4" s="26" t="str">
        <f>_xlfn.IFNA(VLOOKUP($C4&amp;","&amp;V3,$C$69:$D$112,2,FALSE),"")</f>
        <v/>
      </c>
      <c r="W4" s="26" t="str">
        <f>_xlfn.IFNA(VLOOKUP($C4&amp;","&amp;W3,$C$69:$D$112,2,FALSE),"")</f>
        <v/>
      </c>
      <c r="X4" s="26" t="str">
        <f>_xlfn.IFNA(VLOOKUP($C4&amp;","&amp;X3,$C$69:$D$112,2,FALSE),"")</f>
        <v/>
      </c>
      <c r="Y4" s="26" t="str">
        <f>_xlfn.IFNA(VLOOKUP($C4&amp;","&amp;Y3,$C$69:$D$112,2,FALSE),"")</f>
        <v/>
      </c>
      <c r="Z4" s="26" t="str">
        <f>_xlfn.IFNA(VLOOKUP($C4&amp;","&amp;Z3,$C$69:$D$112,2,FALSE),"")</f>
        <v/>
      </c>
      <c r="AA4" s="26" t="str">
        <f>_xlfn.IFNA(VLOOKUP($C4&amp;","&amp;AA3,$C$69:$D$112,2,FALSE),"")</f>
        <v/>
      </c>
      <c r="AB4" s="26" t="str">
        <f>_xlfn.IFNA(VLOOKUP($C4&amp;","&amp;AB3,$C$69:$D$112,2,FALSE),"")</f>
        <v/>
      </c>
    </row>
    <row r="5" ht="20" customHeight="1" spans="1:28">
      <c r="A5" s="16">
        <v>0</v>
      </c>
      <c r="B5" s="15">
        <f t="shared" si="1"/>
        <v>1</v>
      </c>
      <c r="C5" s="17" t="s">
        <v>920</v>
      </c>
      <c r="D5" s="18" t="str">
        <f t="shared" si="2"/>
        <v>1</v>
      </c>
      <c r="E5" s="26" t="str">
        <f>_xlfn.IFNA(VLOOKUP($C5&amp;","&amp;E3,$C$69:$D$112,2,FALSE),"")</f>
        <v/>
      </c>
      <c r="F5" s="26" t="str">
        <f>_xlfn.IFNA(VLOOKUP($C5&amp;","&amp;F3,$C$69:$D$112,2,FALSE),"")</f>
        <v/>
      </c>
      <c r="G5" s="26" t="str">
        <f>_xlfn.IFNA(VLOOKUP($C5&amp;","&amp;G3,$C$69:$D$112,2,FALSE),"")</f>
        <v/>
      </c>
      <c r="H5" s="26" t="str">
        <f>_xlfn.IFNA(VLOOKUP($C5&amp;","&amp;H3,$C$69:$D$112,2,FALSE),"")</f>
        <v/>
      </c>
      <c r="I5" s="26" t="str">
        <f>_xlfn.IFNA(VLOOKUP($C5&amp;","&amp;I3,$C$69:$D$112,2,FALSE),"")</f>
        <v/>
      </c>
      <c r="J5" s="26" t="str">
        <f>_xlfn.IFNA(VLOOKUP($C5&amp;","&amp;J3,$C$69:$D$112,2,FALSE),"")</f>
        <v/>
      </c>
      <c r="K5" s="26" t="str">
        <f>_xlfn.IFNA(VLOOKUP($C5&amp;","&amp;K3,$C$69:$D$112,2,FALSE),"")</f>
        <v/>
      </c>
      <c r="L5" s="26" t="str">
        <f>_xlfn.IFNA(VLOOKUP($C5&amp;","&amp;L3,$C$69:$D$112,2,FALSE),"")</f>
        <v/>
      </c>
      <c r="M5" s="26" t="str">
        <f>_xlfn.IFNA(VLOOKUP($C5&amp;","&amp;M3,$C$69:$D$112,2,FALSE),"")</f>
        <v/>
      </c>
      <c r="N5" s="26" t="str">
        <f>_xlfn.IFNA(VLOOKUP($C5&amp;","&amp;N3,$C$69:$D$112,2,FALSE),"")</f>
        <v/>
      </c>
      <c r="O5" s="26" t="str">
        <f>_xlfn.IFNA(VLOOKUP($C5&amp;","&amp;O3,$C$69:$D$112,2,FALSE),"")</f>
        <v/>
      </c>
      <c r="P5" s="26" t="str">
        <f>_xlfn.IFNA(VLOOKUP($C5&amp;","&amp;P3,$C$69:$D$112,2,FALSE),"")</f>
        <v/>
      </c>
      <c r="Q5" s="26" t="str">
        <f>_xlfn.IFNA(VLOOKUP($C5&amp;","&amp;Q3,$C$69:$D$112,2,FALSE),"")</f>
        <v/>
      </c>
      <c r="R5" s="26" t="str">
        <f>_xlfn.IFNA(VLOOKUP($C5&amp;","&amp;R3,$C$69:$D$112,2,FALSE),"")</f>
        <v/>
      </c>
      <c r="S5" s="26" t="str">
        <f>_xlfn.IFNA(VLOOKUP($C5&amp;","&amp;S3,$C$69:$D$112,2,FALSE),"")</f>
        <v/>
      </c>
      <c r="T5" s="26" t="str">
        <f>_xlfn.IFNA(VLOOKUP($C5&amp;","&amp;T3,$C$69:$D$112,2,FALSE),"")</f>
        <v/>
      </c>
      <c r="U5" s="26" t="str">
        <f>_xlfn.IFNA(VLOOKUP($C5&amp;","&amp;U3,$C$69:$D$112,2,FALSE),"")</f>
        <v/>
      </c>
      <c r="V5" s="26" t="str">
        <f>_xlfn.IFNA(VLOOKUP($C5&amp;","&amp;V3,$C$69:$D$112,2,FALSE),"")</f>
        <v/>
      </c>
      <c r="W5" s="26" t="str">
        <f>_xlfn.IFNA(VLOOKUP($C5&amp;","&amp;W3,$C$69:$D$112,2,FALSE),"")</f>
        <v/>
      </c>
      <c r="X5" s="26" t="str">
        <f>_xlfn.IFNA(VLOOKUP($C5&amp;","&amp;X3,$C$69:$D$112,2,FALSE),"")</f>
        <v/>
      </c>
      <c r="Y5" s="26" t="str">
        <f>_xlfn.IFNA(VLOOKUP($C5&amp;","&amp;Y3,$C$69:$D$112,2,FALSE),"")</f>
        <v/>
      </c>
      <c r="Z5" s="26" t="str">
        <f>_xlfn.IFNA(VLOOKUP($C5&amp;","&amp;Z3,$C$69:$D$112,2,FALSE),"")</f>
        <v/>
      </c>
      <c r="AA5" s="26" t="str">
        <f>_xlfn.IFNA(VLOOKUP($C5&amp;","&amp;AA3,$C$69:$D$112,2,FALSE),"")</f>
        <v/>
      </c>
      <c r="AB5" s="26" t="str">
        <f>_xlfn.IFNA(VLOOKUP($C5&amp;","&amp;AB3,$C$69:$D$112,2,FALSE),"")</f>
        <v/>
      </c>
    </row>
    <row r="6" ht="20" customHeight="1" spans="1:28">
      <c r="A6" s="16">
        <v>0</v>
      </c>
      <c r="B6" s="15">
        <f t="shared" si="1"/>
        <v>2</v>
      </c>
      <c r="C6" s="17" t="s">
        <v>921</v>
      </c>
      <c r="D6" s="18" t="str">
        <f t="shared" si="2"/>
        <v>2</v>
      </c>
      <c r="E6" s="26" t="str">
        <f>_xlfn.IFNA(VLOOKUP($C6&amp;","&amp;E3,$C$69:$D$112,2,FALSE),"")</f>
        <v/>
      </c>
      <c r="F6" s="26" t="str">
        <f>_xlfn.IFNA(VLOOKUP($C6&amp;","&amp;F3,$C$69:$D$112,2,FALSE),"")</f>
        <v/>
      </c>
      <c r="G6" s="26" t="str">
        <f>_xlfn.IFNA(VLOOKUP($C6&amp;","&amp;G3,$C$69:$D$112,2,FALSE),"")</f>
        <v/>
      </c>
      <c r="H6" s="26" t="str">
        <f>_xlfn.IFNA(VLOOKUP($C6&amp;","&amp;H3,$C$69:$D$112,2,FALSE),"")</f>
        <v/>
      </c>
      <c r="I6" s="26" t="str">
        <f>_xlfn.IFNA(VLOOKUP($C6&amp;","&amp;I3,$C$69:$D$112,2,FALSE),"")</f>
        <v/>
      </c>
      <c r="J6" s="26" t="str">
        <f>_xlfn.IFNA(VLOOKUP($C6&amp;","&amp;J3,$C$69:$D$112,2,FALSE),"")</f>
        <v/>
      </c>
      <c r="K6" s="26" t="str">
        <f>_xlfn.IFNA(VLOOKUP($C6&amp;","&amp;K3,$C$69:$D$112,2,FALSE),"")</f>
        <v/>
      </c>
      <c r="L6" s="26" t="str">
        <f>_xlfn.IFNA(VLOOKUP($C6&amp;","&amp;L3,$C$69:$D$112,2,FALSE),"")</f>
        <v/>
      </c>
      <c r="M6" s="26" t="str">
        <f>_xlfn.IFNA(VLOOKUP($C6&amp;","&amp;M3,$C$69:$D$112,2,FALSE),"")</f>
        <v/>
      </c>
      <c r="N6" s="26" t="str">
        <f>_xlfn.IFNA(VLOOKUP($C6&amp;","&amp;N3,$C$69:$D$112,2,FALSE),"")</f>
        <v/>
      </c>
      <c r="O6" s="26" t="str">
        <f>_xlfn.IFNA(VLOOKUP($C6&amp;","&amp;O3,$C$69:$D$112,2,FALSE),"")</f>
        <v/>
      </c>
      <c r="P6" s="26" t="str">
        <f>_xlfn.IFNA(VLOOKUP($C6&amp;","&amp;P3,$C$69:$D$112,2,FALSE),"")</f>
        <v/>
      </c>
      <c r="Q6" s="26" t="str">
        <f>_xlfn.IFNA(VLOOKUP($C6&amp;","&amp;Q3,$C$69:$D$112,2,FALSE),"")</f>
        <v/>
      </c>
      <c r="R6" s="26" t="str">
        <f>_xlfn.IFNA(VLOOKUP($C6&amp;","&amp;R3,$C$69:$D$112,2,FALSE),"")</f>
        <v/>
      </c>
      <c r="S6" s="26" t="str">
        <f>_xlfn.IFNA(VLOOKUP($C6&amp;","&amp;S3,$C$69:$D$112,2,FALSE),"")</f>
        <v/>
      </c>
      <c r="T6" s="26" t="str">
        <f>_xlfn.IFNA(VLOOKUP($C6&amp;","&amp;T3,$C$69:$D$112,2,FALSE),"")</f>
        <v/>
      </c>
      <c r="U6" s="26" t="str">
        <f>_xlfn.IFNA(VLOOKUP($C6&amp;","&amp;U3,$C$69:$D$112,2,FALSE),"")</f>
        <v/>
      </c>
      <c r="V6" s="26" t="str">
        <f>_xlfn.IFNA(VLOOKUP($C6&amp;","&amp;V3,$C$69:$D$112,2,FALSE),"")</f>
        <v/>
      </c>
      <c r="W6" s="26" t="str">
        <f>_xlfn.IFNA(VLOOKUP($C6&amp;","&amp;W3,$C$69:$D$112,2,FALSE),"")</f>
        <v/>
      </c>
      <c r="X6" s="26" t="str">
        <f>_xlfn.IFNA(VLOOKUP($C6&amp;","&amp;X3,$C$69:$D$112,2,FALSE),"")</f>
        <v/>
      </c>
      <c r="Y6" s="26" t="str">
        <f>_xlfn.IFNA(VLOOKUP($C6&amp;","&amp;Y3,$C$69:$D$112,2,FALSE),"")</f>
        <v/>
      </c>
      <c r="Z6" s="26" t="str">
        <f>_xlfn.IFNA(VLOOKUP($C6&amp;","&amp;Z3,$C$69:$D$112,2,FALSE),"")</f>
        <v/>
      </c>
      <c r="AA6" s="26" t="str">
        <f>_xlfn.IFNA(VLOOKUP($C6&amp;","&amp;AA3,$C$69:$D$112,2,FALSE),"")</f>
        <v/>
      </c>
      <c r="AB6" s="26" t="str">
        <f>_xlfn.IFNA(VLOOKUP($C6&amp;","&amp;AB3,$C$69:$D$112,2,FALSE),"")</f>
        <v/>
      </c>
    </row>
    <row r="7" ht="20" customHeight="1" spans="1:28">
      <c r="A7" s="16">
        <v>2</v>
      </c>
      <c r="B7" s="15">
        <f t="shared" si="1"/>
        <v>3</v>
      </c>
      <c r="C7" s="19" t="s">
        <v>922</v>
      </c>
      <c r="D7" s="18" t="str">
        <f t="shared" si="2"/>
        <v>3</v>
      </c>
      <c r="E7" s="26" t="str">
        <f>_xlfn.IFNA(VLOOKUP($C7&amp;","&amp;E3,$C$34:$D$112,2,FALSE),"")</f>
        <v>35</v>
      </c>
      <c r="F7" s="27" t="str">
        <f>_xlfn.IFNA(VLOOKUP($C7&amp;","&amp;F3,$C$34:$D$112,2,FALSE),"")</f>
        <v/>
      </c>
      <c r="G7" s="27" t="str">
        <f>_xlfn.IFNA(VLOOKUP($C7&amp;","&amp;G3,$C$34:$D$112,2,FALSE),"")</f>
        <v/>
      </c>
      <c r="H7" s="27" t="str">
        <f>_xlfn.IFNA(VLOOKUP($C7&amp;","&amp;H3,$C$34:$D$112,2,FALSE),"")</f>
        <v/>
      </c>
      <c r="I7" s="27" t="str">
        <f>_xlfn.IFNA(VLOOKUP($C7&amp;","&amp;I3,$C$34:$D$112,2,FALSE),"")</f>
        <v/>
      </c>
      <c r="J7" s="27" t="str">
        <f>_xlfn.IFNA(VLOOKUP($C7&amp;","&amp;J3,$C$34:$D$112,2,FALSE),"")</f>
        <v/>
      </c>
      <c r="K7" s="27" t="str">
        <f>_xlfn.IFNA(VLOOKUP($C7&amp;","&amp;K3,$C$34:$D$112,2,FALSE),"")</f>
        <v/>
      </c>
      <c r="L7" s="27" t="str">
        <f>_xlfn.IFNA(VLOOKUP($C7&amp;","&amp;L3,$C$34:$D$112,2,FALSE),"")</f>
        <v/>
      </c>
      <c r="M7" s="27" t="str">
        <f>_xlfn.IFNA(VLOOKUP($C7&amp;","&amp;M3,$C$34:$D$112,2,FALSE),"")</f>
        <v/>
      </c>
      <c r="N7" s="27" t="str">
        <f>_xlfn.IFNA(VLOOKUP($C7&amp;","&amp;N3,$C$34:$D$112,2,FALSE),"")</f>
        <v/>
      </c>
      <c r="O7" s="27" t="str">
        <f>_xlfn.IFNA(VLOOKUP($C7&amp;","&amp;O3,$C$34:$D$112,2,FALSE),"")</f>
        <v/>
      </c>
      <c r="P7" s="27" t="str">
        <f>_xlfn.IFNA(VLOOKUP($C7&amp;","&amp;P3,$C$34:$D$112,2,FALSE),"")</f>
        <v/>
      </c>
      <c r="Q7" s="27" t="str">
        <f>_xlfn.IFNA(VLOOKUP($C7&amp;","&amp;Q3,$C$34:$D$112,2,FALSE),"")</f>
        <v/>
      </c>
      <c r="R7" s="27" t="str">
        <f>_xlfn.IFNA(VLOOKUP($C7&amp;","&amp;R3,$C$34:$D$112,2,FALSE),"")</f>
        <v/>
      </c>
      <c r="S7" s="27" t="str">
        <f>_xlfn.IFNA(VLOOKUP($C7&amp;","&amp;S3,$C$34:$D$112,2,FALSE),"")</f>
        <v/>
      </c>
      <c r="T7" s="27" t="str">
        <f>_xlfn.IFNA(VLOOKUP($C7&amp;","&amp;T3,$C$34:$D$112,2,FALSE),"")</f>
        <v/>
      </c>
      <c r="U7" s="27" t="str">
        <f>_xlfn.IFNA(VLOOKUP($C7&amp;","&amp;U3,$C$34:$D$112,2,FALSE),"")</f>
        <v/>
      </c>
      <c r="V7" s="27" t="str">
        <f>_xlfn.IFNA(VLOOKUP($C7&amp;","&amp;V3,$C$34:$D$112,2,FALSE),"")</f>
        <v/>
      </c>
      <c r="W7" s="27" t="str">
        <f>_xlfn.IFNA(VLOOKUP($C7&amp;","&amp;W3,$C$34:$D$112,2,FALSE),"")</f>
        <v/>
      </c>
      <c r="X7" s="27" t="str">
        <f>_xlfn.IFNA(VLOOKUP($C7&amp;","&amp;X3,$C$34:$D$112,2,FALSE),"")</f>
        <v/>
      </c>
      <c r="Y7" s="27" t="str">
        <f>_xlfn.IFNA(VLOOKUP($C7&amp;","&amp;Y3,$C$34:$D$112,2,FALSE),"")</f>
        <v/>
      </c>
      <c r="Z7" s="27" t="str">
        <f>_xlfn.IFNA(VLOOKUP($C7&amp;","&amp;Z3,$C$34:$D$112,2,FALSE),"")</f>
        <v/>
      </c>
      <c r="AA7" s="27" t="str">
        <f>_xlfn.IFNA(VLOOKUP($C7&amp;","&amp;AA3,$C$34:$D$112,2,FALSE),"")</f>
        <v/>
      </c>
      <c r="AB7" s="27" t="str">
        <f>_xlfn.IFNA(VLOOKUP($C7&amp;","&amp;AB3,$C$34:$D$112,2,FALSE),"")</f>
        <v/>
      </c>
    </row>
    <row r="8" ht="20" customHeight="1" spans="1:28">
      <c r="A8" s="16">
        <v>2</v>
      </c>
      <c r="B8" s="15">
        <f t="shared" si="1"/>
        <v>4</v>
      </c>
      <c r="C8" s="19" t="s">
        <v>923</v>
      </c>
      <c r="D8" s="18" t="str">
        <f t="shared" si="2"/>
        <v>4</v>
      </c>
      <c r="E8" s="26" t="str">
        <f>_xlfn.IFNA(VLOOKUP($C8&amp;","&amp;E3,$C$34:$D$112,2,FALSE),"")</f>
        <v>36</v>
      </c>
      <c r="F8" s="27" t="str">
        <f>_xlfn.IFNA(VLOOKUP($C8&amp;","&amp;F3,$C$34:$D$112,2,FALSE),"")</f>
        <v/>
      </c>
      <c r="G8" s="27" t="str">
        <f>_xlfn.IFNA(VLOOKUP($C8&amp;","&amp;G3,$C$34:$D$112,2,FALSE),"")</f>
        <v/>
      </c>
      <c r="H8" s="27" t="str">
        <f>_xlfn.IFNA(VLOOKUP($C8&amp;","&amp;H3,$C$34:$D$112,2,FALSE),"")</f>
        <v/>
      </c>
      <c r="I8" s="27" t="str">
        <f>_xlfn.IFNA(VLOOKUP($C8&amp;","&amp;I3,$C$34:$D$112,2,FALSE),"")</f>
        <v/>
      </c>
      <c r="J8" s="27" t="str">
        <f>_xlfn.IFNA(VLOOKUP($C8&amp;","&amp;J3,$C$34:$D$112,2,FALSE),"")</f>
        <v/>
      </c>
      <c r="K8" s="27" t="str">
        <f>_xlfn.IFNA(VLOOKUP($C8&amp;","&amp;K3,$C$34:$D$112,2,FALSE),"")</f>
        <v/>
      </c>
      <c r="L8" s="27" t="str">
        <f>_xlfn.IFNA(VLOOKUP($C8&amp;","&amp;L3,$C$34:$D$112,2,FALSE),"")</f>
        <v/>
      </c>
      <c r="M8" s="27" t="str">
        <f>_xlfn.IFNA(VLOOKUP($C8&amp;","&amp;M3,$C$34:$D$112,2,FALSE),"")</f>
        <v/>
      </c>
      <c r="N8" s="27" t="str">
        <f>_xlfn.IFNA(VLOOKUP($C8&amp;","&amp;N3,$C$34:$D$112,2,FALSE),"")</f>
        <v/>
      </c>
      <c r="O8" s="27" t="str">
        <f>_xlfn.IFNA(VLOOKUP($C8&amp;","&amp;O3,$C$34:$D$112,2,FALSE),"")</f>
        <v/>
      </c>
      <c r="P8" s="27" t="str">
        <f>_xlfn.IFNA(VLOOKUP($C8&amp;","&amp;P3,$C$34:$D$112,2,FALSE),"")</f>
        <v/>
      </c>
      <c r="Q8" s="27" t="str">
        <f>_xlfn.IFNA(VLOOKUP($C8&amp;","&amp;Q3,$C$34:$D$112,2,FALSE),"")</f>
        <v/>
      </c>
      <c r="R8" s="27" t="str">
        <f>_xlfn.IFNA(VLOOKUP($C8&amp;","&amp;R3,$C$34:$D$112,2,FALSE),"")</f>
        <v/>
      </c>
      <c r="S8" s="27" t="str">
        <f>_xlfn.IFNA(VLOOKUP($C8&amp;","&amp;S3,$C$34:$D$112,2,FALSE),"")</f>
        <v/>
      </c>
      <c r="T8" s="27" t="str">
        <f>_xlfn.IFNA(VLOOKUP($C8&amp;","&amp;T3,$C$34:$D$112,2,FALSE),"")</f>
        <v/>
      </c>
      <c r="U8" s="27" t="str">
        <f>_xlfn.IFNA(VLOOKUP($C8&amp;","&amp;U3,$C$34:$D$112,2,FALSE),"")</f>
        <v/>
      </c>
      <c r="V8" s="27" t="str">
        <f>_xlfn.IFNA(VLOOKUP($C8&amp;","&amp;V3,$C$34:$D$112,2,FALSE),"")</f>
        <v/>
      </c>
      <c r="W8" s="27" t="str">
        <f>_xlfn.IFNA(VLOOKUP($C8&amp;","&amp;W3,$C$34:$D$112,2,FALSE),"")</f>
        <v/>
      </c>
      <c r="X8" s="27" t="str">
        <f>_xlfn.IFNA(VLOOKUP($C8&amp;","&amp;X3,$C$34:$D$112,2,FALSE),"")</f>
        <v/>
      </c>
      <c r="Y8" s="27" t="str">
        <f>_xlfn.IFNA(VLOOKUP($C8&amp;","&amp;Y3,$C$34:$D$112,2,FALSE),"")</f>
        <v/>
      </c>
      <c r="Z8" s="27" t="str">
        <f>_xlfn.IFNA(VLOOKUP($C8&amp;","&amp;Z3,$C$34:$D$112,2,FALSE),"")</f>
        <v/>
      </c>
      <c r="AA8" s="27" t="str">
        <f>_xlfn.IFNA(VLOOKUP($C8&amp;","&amp;AA3,$C$34:$D$112,2,FALSE),"")</f>
        <v/>
      </c>
      <c r="AB8" s="27" t="str">
        <f>_xlfn.IFNA(VLOOKUP($C8&amp;","&amp;AB3,$C$34:$D$112,2,FALSE),"")</f>
        <v/>
      </c>
    </row>
    <row r="9" ht="20" customHeight="1" spans="1:28">
      <c r="A9" s="16">
        <v>2</v>
      </c>
      <c r="B9" s="15">
        <f t="shared" si="1"/>
        <v>5</v>
      </c>
      <c r="C9" s="19" t="s">
        <v>924</v>
      </c>
      <c r="D9" s="18" t="str">
        <f t="shared" si="2"/>
        <v>5</v>
      </c>
      <c r="E9" s="26" t="str">
        <f>_xlfn.IFNA(VLOOKUP($C9&amp;","&amp;E3,$C$34:$D$112,2,FALSE),"")</f>
        <v>37</v>
      </c>
      <c r="F9" s="27" t="str">
        <f>_xlfn.IFNA(VLOOKUP($C9&amp;","&amp;F3,$C$34:$D$112,2,FALSE),"")</f>
        <v/>
      </c>
      <c r="G9" s="27" t="str">
        <f>_xlfn.IFNA(VLOOKUP($C9&amp;","&amp;G3,$C$34:$D$112,2,FALSE),"")</f>
        <v/>
      </c>
      <c r="H9" s="27" t="str">
        <f>_xlfn.IFNA(VLOOKUP($C9&amp;","&amp;H3,$C$34:$D$112,2,FALSE),"")</f>
        <v/>
      </c>
      <c r="I9" s="27" t="str">
        <f>_xlfn.IFNA(VLOOKUP($C9&amp;","&amp;I3,$C$34:$D$112,2,FALSE),"")</f>
        <v/>
      </c>
      <c r="J9" s="27" t="str">
        <f>_xlfn.IFNA(VLOOKUP($C9&amp;","&amp;J3,$C$34:$D$112,2,FALSE),"")</f>
        <v/>
      </c>
      <c r="K9" s="27" t="str">
        <f>_xlfn.IFNA(VLOOKUP($C9&amp;","&amp;K3,$C$34:$D$112,2,FALSE),"")</f>
        <v/>
      </c>
      <c r="L9" s="27" t="str">
        <f>_xlfn.IFNA(VLOOKUP($C9&amp;","&amp;L3,$C$34:$D$112,2,FALSE),"")</f>
        <v/>
      </c>
      <c r="M9" s="27" t="str">
        <f>_xlfn.IFNA(VLOOKUP($C9&amp;","&amp;M3,$C$34:$D$112,2,FALSE),"")</f>
        <v/>
      </c>
      <c r="N9" s="27" t="str">
        <f>_xlfn.IFNA(VLOOKUP($C9&amp;","&amp;N3,$C$34:$D$112,2,FALSE),"")</f>
        <v/>
      </c>
      <c r="O9" s="26" t="str">
        <f>_xlfn.IFNA(VLOOKUP($C9&amp;","&amp;O3,$C$34:$D$112,2,FALSE),"")</f>
        <v>39</v>
      </c>
      <c r="P9" s="27" t="str">
        <f>_xlfn.IFNA(VLOOKUP($C9&amp;","&amp;P3,$C$34:$D$112,2,FALSE),"")</f>
        <v/>
      </c>
      <c r="Q9" s="27" t="str">
        <f>_xlfn.IFNA(VLOOKUP($C9&amp;","&amp;Q3,$C$34:$D$112,2,FALSE),"")</f>
        <v/>
      </c>
      <c r="R9" s="27" t="str">
        <f>_xlfn.IFNA(VLOOKUP($C9&amp;","&amp;R3,$C$34:$D$112,2,FALSE),"")</f>
        <v/>
      </c>
      <c r="S9" s="27" t="str">
        <f>_xlfn.IFNA(VLOOKUP($C9&amp;","&amp;S3,$C$34:$D$112,2,FALSE),"")</f>
        <v/>
      </c>
      <c r="T9" s="27" t="str">
        <f>_xlfn.IFNA(VLOOKUP($C9&amp;","&amp;T3,$C$34:$D$112,2,FALSE),"")</f>
        <v/>
      </c>
      <c r="U9" s="27" t="str">
        <f>_xlfn.IFNA(VLOOKUP($C9&amp;","&amp;U3,$C$34:$D$112,2,FALSE),"")</f>
        <v/>
      </c>
      <c r="V9" s="27" t="str">
        <f>_xlfn.IFNA(VLOOKUP($C9&amp;","&amp;V3,$C$34:$D$112,2,FALSE),"")</f>
        <v/>
      </c>
      <c r="W9" s="27" t="str">
        <f>_xlfn.IFNA(VLOOKUP($C9&amp;","&amp;W3,$C$34:$D$112,2,FALSE),"")</f>
        <v/>
      </c>
      <c r="X9" s="27" t="str">
        <f>_xlfn.IFNA(VLOOKUP($C9&amp;","&amp;X3,$C$34:$D$112,2,FALSE),"")</f>
        <v/>
      </c>
      <c r="Y9" s="27" t="str">
        <f>_xlfn.IFNA(VLOOKUP($C9&amp;","&amp;Y3,$C$34:$D$112,2,FALSE),"")</f>
        <v/>
      </c>
      <c r="Z9" s="26" t="str">
        <f>_xlfn.IFNA(VLOOKUP($C9&amp;","&amp;Z3,$C$34:$D$112,2,FALSE),"")</f>
        <v>38</v>
      </c>
      <c r="AA9" s="27" t="str">
        <f>_xlfn.IFNA(VLOOKUP($C9&amp;","&amp;AA3,$C$34:$D$112,2,FALSE),"")</f>
        <v/>
      </c>
      <c r="AB9" s="27" t="str">
        <f>_xlfn.IFNA(VLOOKUP($C9&amp;","&amp;AB3,$C$34:$D$112,2,FALSE),"")</f>
        <v/>
      </c>
    </row>
    <row r="10" ht="20" customHeight="1" spans="1:28">
      <c r="A10" s="16">
        <v>2</v>
      </c>
      <c r="B10" s="15">
        <f t="shared" si="1"/>
        <v>6</v>
      </c>
      <c r="C10" s="19" t="s">
        <v>925</v>
      </c>
      <c r="D10" s="18" t="str">
        <f t="shared" si="2"/>
        <v>6</v>
      </c>
      <c r="E10" s="27" t="str">
        <f>_xlfn.IFNA(VLOOKUP($C10&amp;","&amp;E3,$C$34:$D$112,2,FALSE),"")</f>
        <v/>
      </c>
      <c r="F10" s="26" t="str">
        <f>_xlfn.IFNA(VLOOKUP($C10&amp;","&amp;F3,$C$34:$D$112,2,FALSE),"")</f>
        <v>3A</v>
      </c>
      <c r="G10" s="26" t="str">
        <f>_xlfn.IFNA(VLOOKUP($C10&amp;","&amp;G3,$C$34:$D$112,2,FALSE),"")</f>
        <v>3B</v>
      </c>
      <c r="H10" s="26" t="str">
        <f>_xlfn.IFNA(VLOOKUP($C10&amp;","&amp;H3,$C$34:$D$112,2,FALSE),"")</f>
        <v>3C</v>
      </c>
      <c r="I10" s="27" t="str">
        <f>_xlfn.IFNA(VLOOKUP($C10&amp;","&amp;I3,$C$34:$D$112,2,FALSE),"")</f>
        <v>3D</v>
      </c>
      <c r="J10" s="27" t="str">
        <f>_xlfn.IFNA(VLOOKUP($C10&amp;","&amp;J3,$C$34:$D$112,2,FALSE),"")</f>
        <v>3E</v>
      </c>
      <c r="K10" s="27" t="str">
        <f>_xlfn.IFNA(VLOOKUP($C10&amp;","&amp;K3,$C$34:$D$112,2,FALSE),"")</f>
        <v>3F</v>
      </c>
      <c r="L10" s="27" t="str">
        <f>_xlfn.IFNA(VLOOKUP($C10&amp;","&amp;L3,$C$34:$D$112,2,FALSE),"")</f>
        <v>40</v>
      </c>
      <c r="M10" s="27" t="str">
        <f>_xlfn.IFNA(VLOOKUP($C10&amp;","&amp;M3,$C$34:$D$112,2,FALSE),"")</f>
        <v>41</v>
      </c>
      <c r="N10" s="27" t="str">
        <f>_xlfn.IFNA(VLOOKUP($C10&amp;","&amp;N3,$C$34:$D$112,2,FALSE),"")</f>
        <v/>
      </c>
      <c r="O10" s="27" t="str">
        <f>_xlfn.IFNA(VLOOKUP($C10&amp;","&amp;O3,$C$34:$D$112,2,FALSE),"")</f>
        <v/>
      </c>
      <c r="P10" s="27" t="str">
        <f>_xlfn.IFNA(VLOOKUP($C10&amp;","&amp;P3,$C$34:$D$112,2,FALSE),"")</f>
        <v/>
      </c>
      <c r="Q10" s="27" t="str">
        <f>_xlfn.IFNA(VLOOKUP($C10&amp;","&amp;Q3,$C$34:$D$112,2,FALSE),"")</f>
        <v/>
      </c>
      <c r="R10" s="27" t="str">
        <f>_xlfn.IFNA(VLOOKUP($C10&amp;","&amp;R3,$C$34:$D$112,2,FALSE),"")</f>
        <v/>
      </c>
      <c r="S10" s="27" t="str">
        <f>_xlfn.IFNA(VLOOKUP($C10&amp;","&amp;S3,$C$34:$D$112,2,FALSE),"")</f>
        <v/>
      </c>
      <c r="T10" s="27" t="str">
        <f>_xlfn.IFNA(VLOOKUP($C10&amp;","&amp;T3,$C$34:$D$112,2,FALSE),"")</f>
        <v/>
      </c>
      <c r="U10" s="27" t="str">
        <f>_xlfn.IFNA(VLOOKUP($C10&amp;","&amp;U3,$C$34:$D$112,2,FALSE),"")</f>
        <v/>
      </c>
      <c r="V10" s="27" t="str">
        <f>_xlfn.IFNA(VLOOKUP($C10&amp;","&amp;V3,$C$34:$D$112,2,FALSE),"")</f>
        <v/>
      </c>
      <c r="W10" s="27" t="str">
        <f>_xlfn.IFNA(VLOOKUP($C10&amp;","&amp;W3,$C$34:$D$112,2,FALSE),"")</f>
        <v/>
      </c>
      <c r="X10" s="27" t="str">
        <f>_xlfn.IFNA(VLOOKUP($C10&amp;","&amp;X3,$C$34:$D$112,2,FALSE),"")</f>
        <v/>
      </c>
      <c r="Y10" s="27" t="str">
        <f>_xlfn.IFNA(VLOOKUP($C10&amp;","&amp;Y3,$C$34:$D$112,2,FALSE),"")</f>
        <v/>
      </c>
      <c r="Z10" s="27" t="str">
        <f>_xlfn.IFNA(VLOOKUP($C10&amp;","&amp;Z3,$C$34:$D$112,2,FALSE),"")</f>
        <v/>
      </c>
      <c r="AA10" s="27" t="str">
        <f>_xlfn.IFNA(VLOOKUP($C10&amp;","&amp;AA3,$C$34:$D$112,2,FALSE),"")</f>
        <v/>
      </c>
      <c r="AB10" s="27" t="str">
        <f>_xlfn.IFNA(VLOOKUP($C10&amp;","&amp;AB3,$C$34:$D$112,2,FALSE),"")</f>
        <v/>
      </c>
    </row>
    <row r="11" ht="20" customHeight="1" spans="1:28">
      <c r="A11" s="16">
        <v>2</v>
      </c>
      <c r="B11" s="15">
        <f t="shared" si="1"/>
        <v>7</v>
      </c>
      <c r="C11" s="19" t="s">
        <v>926</v>
      </c>
      <c r="D11" s="18" t="str">
        <f t="shared" si="2"/>
        <v>7</v>
      </c>
      <c r="E11" s="27" t="str">
        <f>_xlfn.IFNA(VLOOKUP($C11&amp;","&amp;E3,$C$34:$D$112,2,FALSE),"")</f>
        <v/>
      </c>
      <c r="F11" s="27" t="str">
        <f>_xlfn.IFNA(VLOOKUP($C11&amp;","&amp;F3,$C$34:$D$112,2,FALSE),"")</f>
        <v/>
      </c>
      <c r="G11" s="27" t="str">
        <f>_xlfn.IFNA(VLOOKUP($C11&amp;","&amp;G3,$C$34:$D$112,2,FALSE),"")</f>
        <v/>
      </c>
      <c r="H11" s="27" t="str">
        <f>_xlfn.IFNA(VLOOKUP($C11&amp;","&amp;H3,$C$34:$D$112,2,FALSE),"")</f>
        <v/>
      </c>
      <c r="I11" s="27" t="str">
        <f>_xlfn.IFNA(VLOOKUP($C11&amp;","&amp;I3,$C$34:$D$112,2,FALSE),"")</f>
        <v/>
      </c>
      <c r="J11" s="27" t="str">
        <f>_xlfn.IFNA(VLOOKUP($C11&amp;","&amp;J3,$C$34:$D$112,2,FALSE),"")</f>
        <v/>
      </c>
      <c r="K11" s="27" t="str">
        <f>_xlfn.IFNA(VLOOKUP($C11&amp;","&amp;K3,$C$34:$D$112,2,FALSE),"")</f>
        <v/>
      </c>
      <c r="L11" s="27" t="str">
        <f>_xlfn.IFNA(VLOOKUP($C11&amp;","&amp;L3,$C$34:$D$112,2,FALSE),"")</f>
        <v/>
      </c>
      <c r="M11" s="27" t="str">
        <f>_xlfn.IFNA(VLOOKUP($C11&amp;","&amp;M3,$C$34:$D$112,2,FALSE),"")</f>
        <v/>
      </c>
      <c r="N11" s="27" t="str">
        <f>_xlfn.IFNA(VLOOKUP($C11&amp;","&amp;N3,$C$34:$D$112,2,FALSE),"")</f>
        <v/>
      </c>
      <c r="O11" s="27" t="str">
        <f>_xlfn.IFNA(VLOOKUP($C11&amp;","&amp;O3,$C$34:$D$112,2,FALSE),"")</f>
        <v/>
      </c>
      <c r="P11" s="27" t="str">
        <f>_xlfn.IFNA(VLOOKUP($C11&amp;","&amp;P3,$C$34:$D$112,2,FALSE),"")</f>
        <v/>
      </c>
      <c r="Q11" s="27" t="str">
        <f>_xlfn.IFNA(VLOOKUP($C11&amp;","&amp;Q3,$C$34:$D$112,2,FALSE),"")</f>
        <v/>
      </c>
      <c r="R11" s="27" t="str">
        <f>_xlfn.IFNA(VLOOKUP($C11&amp;","&amp;R3,$C$34:$D$112,2,FALSE),"")</f>
        <v/>
      </c>
      <c r="S11" s="27" t="str">
        <f>_xlfn.IFNA(VLOOKUP($C11&amp;","&amp;S3,$C$34:$D$112,2,FALSE),"")</f>
        <v/>
      </c>
      <c r="T11" s="27" t="str">
        <f>_xlfn.IFNA(VLOOKUP($C11&amp;","&amp;T3,$C$34:$D$112,2,FALSE),"")</f>
        <v/>
      </c>
      <c r="U11" s="27" t="str">
        <f>_xlfn.IFNA(VLOOKUP($C11&amp;","&amp;U3,$C$34:$D$112,2,FALSE),"")</f>
        <v/>
      </c>
      <c r="V11" s="27" t="str">
        <f>_xlfn.IFNA(VLOOKUP($C11&amp;","&amp;V3,$C$34:$D$112,2,FALSE),"")</f>
        <v/>
      </c>
      <c r="W11" s="27" t="str">
        <f>_xlfn.IFNA(VLOOKUP($C11&amp;","&amp;W3,$C$34:$D$112,2,FALSE),"")</f>
        <v/>
      </c>
      <c r="X11" s="27" t="str">
        <f>_xlfn.IFNA(VLOOKUP($C11&amp;","&amp;X3,$C$34:$D$112,2,FALSE),"")</f>
        <v/>
      </c>
      <c r="Y11" s="27" t="str">
        <f>_xlfn.IFNA(VLOOKUP($C11&amp;","&amp;Y3,$C$34:$D$112,2,FALSE),"")</f>
        <v>42</v>
      </c>
      <c r="Z11" s="27" t="str">
        <f>_xlfn.IFNA(VLOOKUP($C11&amp;","&amp;Z3,$C$34:$D$112,2,FALSE),"")</f>
        <v/>
      </c>
      <c r="AA11" s="27" t="str">
        <f>_xlfn.IFNA(VLOOKUP($C11&amp;","&amp;AA3,$C$34:$D$112,2,FALSE),"")</f>
        <v/>
      </c>
      <c r="AB11" s="27" t="str">
        <f>_xlfn.IFNA(VLOOKUP($C11&amp;","&amp;AB3,$C$34:$D$112,2,FALSE),"")</f>
        <v/>
      </c>
    </row>
    <row r="12" ht="20" customHeight="1" spans="1:28">
      <c r="A12" s="16">
        <v>2</v>
      </c>
      <c r="B12" s="15">
        <f t="shared" si="1"/>
        <v>8</v>
      </c>
      <c r="C12" s="19" t="s">
        <v>927</v>
      </c>
      <c r="D12" s="18" t="str">
        <f t="shared" si="2"/>
        <v>8</v>
      </c>
      <c r="E12" s="27" t="str">
        <f>_xlfn.IFNA(VLOOKUP($C12&amp;","&amp;E3,$C$34:$D$112,2,FALSE),"")</f>
        <v/>
      </c>
      <c r="F12" s="27" t="str">
        <f>_xlfn.IFNA(VLOOKUP($C12&amp;","&amp;F3,$C$34:$D$112,2,FALSE),"")</f>
        <v/>
      </c>
      <c r="G12" s="27" t="str">
        <f>_xlfn.IFNA(VLOOKUP($C12&amp;","&amp;G3,$C$34:$D$112,2,FALSE),"")</f>
        <v/>
      </c>
      <c r="H12" s="27" t="str">
        <f>_xlfn.IFNA(VLOOKUP($C12&amp;","&amp;H3,$C$34:$D$112,2,FALSE),"")</f>
        <v/>
      </c>
      <c r="I12" s="27" t="str">
        <f>_xlfn.IFNA(VLOOKUP($C12&amp;","&amp;I3,$C$34:$D$112,2,FALSE),"")</f>
        <v/>
      </c>
      <c r="J12" s="27" t="str">
        <f>_xlfn.IFNA(VLOOKUP($C12&amp;","&amp;J3,$C$34:$D$112,2,FALSE),"")</f>
        <v/>
      </c>
      <c r="K12" s="27" t="str">
        <f>_xlfn.IFNA(VLOOKUP($C12&amp;","&amp;K3,$C$34:$D$112,2,FALSE),"")</f>
        <v/>
      </c>
      <c r="L12" s="27" t="str">
        <f>_xlfn.IFNA(VLOOKUP($C12&amp;","&amp;L3,$C$34:$D$112,2,FALSE),"")</f>
        <v/>
      </c>
      <c r="M12" s="27" t="str">
        <f>_xlfn.IFNA(VLOOKUP($C12&amp;","&amp;M3,$C$34:$D$112,2,FALSE),"")</f>
        <v/>
      </c>
      <c r="N12" s="27" t="str">
        <f>_xlfn.IFNA(VLOOKUP($C12&amp;","&amp;N3,$C$34:$D$112,2,FALSE),"")</f>
        <v/>
      </c>
      <c r="O12" s="27" t="str">
        <f>_xlfn.IFNA(VLOOKUP($C12&amp;","&amp;O3,$C$34:$D$112,2,FALSE),"")</f>
        <v/>
      </c>
      <c r="P12" s="27" t="str">
        <f>_xlfn.IFNA(VLOOKUP($C12&amp;","&amp;P3,$C$34:$D$112,2,FALSE),"")</f>
        <v/>
      </c>
      <c r="Q12" s="27" t="str">
        <f>_xlfn.IFNA(VLOOKUP($C12&amp;","&amp;Q3,$C$34:$D$112,2,FALSE),"")</f>
        <v/>
      </c>
      <c r="R12" s="27" t="str">
        <f>_xlfn.IFNA(VLOOKUP($C12&amp;","&amp;R3,$C$34:$D$112,2,FALSE),"")</f>
        <v/>
      </c>
      <c r="S12" s="27" t="str">
        <f>_xlfn.IFNA(VLOOKUP($C12&amp;","&amp;S3,$C$34:$D$112,2,FALSE),"")</f>
        <v/>
      </c>
      <c r="T12" s="27" t="str">
        <f>_xlfn.IFNA(VLOOKUP($C12&amp;","&amp;T3,$C$34:$D$112,2,FALSE),"")</f>
        <v/>
      </c>
      <c r="U12" s="27" t="str">
        <f>_xlfn.IFNA(VLOOKUP($C12&amp;","&amp;U3,$C$34:$D$112,2,FALSE),"")</f>
        <v/>
      </c>
      <c r="V12" s="27" t="str">
        <f>_xlfn.IFNA(VLOOKUP($C12&amp;","&amp;V3,$C$34:$D$112,2,FALSE),"")</f>
        <v/>
      </c>
      <c r="W12" s="27" t="str">
        <f>_xlfn.IFNA(VLOOKUP($C12&amp;","&amp;W3,$C$34:$D$112,2,FALSE),"")</f>
        <v/>
      </c>
      <c r="X12" s="27" t="str">
        <f>_xlfn.IFNA(VLOOKUP($C12&amp;","&amp;X3,$C$34:$D$112,2,FALSE),"")</f>
        <v/>
      </c>
      <c r="Y12" s="27" t="str">
        <f>_xlfn.IFNA(VLOOKUP($C12&amp;","&amp;Y3,$C$34:$D$112,2,FALSE),"")</f>
        <v>43</v>
      </c>
      <c r="Z12" s="27" t="str">
        <f>_xlfn.IFNA(VLOOKUP($C12&amp;","&amp;Z3,$C$34:$D$112,2,FALSE),"")</f>
        <v/>
      </c>
      <c r="AA12" s="27" t="str">
        <f>_xlfn.IFNA(VLOOKUP($C12&amp;","&amp;AA3,$C$34:$D$112,2,FALSE),"")</f>
        <v/>
      </c>
      <c r="AB12" s="27" t="str">
        <f>_xlfn.IFNA(VLOOKUP($C12&amp;","&amp;AB3,$C$34:$D$112,2,FALSE),"")</f>
        <v/>
      </c>
    </row>
    <row r="13" ht="20" customHeight="1" spans="1:28">
      <c r="A13" s="16">
        <v>2</v>
      </c>
      <c r="B13" s="15">
        <f t="shared" si="1"/>
        <v>9</v>
      </c>
      <c r="C13" s="19" t="s">
        <v>928</v>
      </c>
      <c r="D13" s="18" t="str">
        <f t="shared" si="2"/>
        <v>9</v>
      </c>
      <c r="E13" s="27" t="str">
        <f>_xlfn.IFNA(VLOOKUP($C13&amp;","&amp;E3,$C$34:$D$112,2,FALSE),"")</f>
        <v/>
      </c>
      <c r="F13" s="27" t="str">
        <f>_xlfn.IFNA(VLOOKUP($C13&amp;","&amp;F3,$C$34:$D$112,2,FALSE),"")</f>
        <v/>
      </c>
      <c r="G13" s="27" t="str">
        <f>_xlfn.IFNA(VLOOKUP($C13&amp;","&amp;G3,$C$34:$D$112,2,FALSE),"")</f>
        <v/>
      </c>
      <c r="H13" s="27" t="str">
        <f>_xlfn.IFNA(VLOOKUP($C13&amp;","&amp;H3,$C$34:$D$112,2,FALSE),"")</f>
        <v/>
      </c>
      <c r="I13" s="27" t="str">
        <f>_xlfn.IFNA(VLOOKUP($C13&amp;","&amp;I3,$C$34:$D$112,2,FALSE),"")</f>
        <v/>
      </c>
      <c r="J13" s="27" t="str">
        <f>_xlfn.IFNA(VLOOKUP($C13&amp;","&amp;J3,$C$34:$D$112,2,FALSE),"")</f>
        <v/>
      </c>
      <c r="K13" s="27" t="str">
        <f>_xlfn.IFNA(VLOOKUP($C13&amp;","&amp;K3,$C$34:$D$112,2,FALSE),"")</f>
        <v/>
      </c>
      <c r="L13" s="27" t="str">
        <f>_xlfn.IFNA(VLOOKUP($C13&amp;","&amp;L3,$C$34:$D$112,2,FALSE),"")</f>
        <v/>
      </c>
      <c r="M13" s="27" t="str">
        <f>_xlfn.IFNA(VLOOKUP($C13&amp;","&amp;M3,$C$34:$D$112,2,FALSE),"")</f>
        <v/>
      </c>
      <c r="N13" s="27" t="str">
        <f>_xlfn.IFNA(VLOOKUP($C13&amp;","&amp;N3,$C$34:$D$112,2,FALSE),"")</f>
        <v/>
      </c>
      <c r="O13" s="27" t="str">
        <f>_xlfn.IFNA(VLOOKUP($C13&amp;","&amp;O3,$C$34:$D$112,2,FALSE),"")</f>
        <v/>
      </c>
      <c r="P13" s="27" t="str">
        <f>_xlfn.IFNA(VLOOKUP($C13&amp;","&amp;P3,$C$34:$D$112,2,FALSE),"")</f>
        <v/>
      </c>
      <c r="Q13" s="27" t="str">
        <f>_xlfn.IFNA(VLOOKUP($C13&amp;","&amp;Q3,$C$34:$D$112,2,FALSE),"")</f>
        <v/>
      </c>
      <c r="R13" s="27" t="str">
        <f>_xlfn.IFNA(VLOOKUP($C13&amp;","&amp;R3,$C$34:$D$112,2,FALSE),"")</f>
        <v/>
      </c>
      <c r="S13" s="27" t="str">
        <f>_xlfn.IFNA(VLOOKUP($C13&amp;","&amp;S3,$C$34:$D$112,2,FALSE),"")</f>
        <v/>
      </c>
      <c r="T13" s="27" t="str">
        <f>_xlfn.IFNA(VLOOKUP($C13&amp;","&amp;T3,$C$34:$D$112,2,FALSE),"")</f>
        <v/>
      </c>
      <c r="U13" s="27" t="str">
        <f>_xlfn.IFNA(VLOOKUP($C13&amp;","&amp;U3,$C$34:$D$112,2,FALSE),"")</f>
        <v/>
      </c>
      <c r="V13" s="27" t="str">
        <f>_xlfn.IFNA(VLOOKUP($C13&amp;","&amp;V3,$C$34:$D$112,2,FALSE),"")</f>
        <v/>
      </c>
      <c r="W13" s="27" t="str">
        <f>_xlfn.IFNA(VLOOKUP($C13&amp;","&amp;W3,$C$34:$D$112,2,FALSE),"")</f>
        <v/>
      </c>
      <c r="X13" s="27" t="str">
        <f>_xlfn.IFNA(VLOOKUP($C13&amp;","&amp;X3,$C$34:$D$112,2,FALSE),"")</f>
        <v/>
      </c>
      <c r="Y13" s="27" t="str">
        <f>_xlfn.IFNA(VLOOKUP($C13&amp;","&amp;Y3,$C$34:$D$112,2,FALSE),"")</f>
        <v>44</v>
      </c>
      <c r="Z13" s="27" t="str">
        <f>_xlfn.IFNA(VLOOKUP($C13&amp;","&amp;Z3,$C$34:$D$112,2,FALSE),"")</f>
        <v/>
      </c>
      <c r="AA13" s="27" t="str">
        <f>_xlfn.IFNA(VLOOKUP($C13&amp;","&amp;AA3,$C$34:$D$112,2,FALSE),"")</f>
        <v/>
      </c>
      <c r="AB13" s="27" t="str">
        <f>_xlfn.IFNA(VLOOKUP($C13&amp;","&amp;AB3,$C$34:$D$112,2,FALSE),"")</f>
        <v/>
      </c>
    </row>
    <row r="14" ht="20" customHeight="1" spans="1:28">
      <c r="A14" s="16">
        <v>2</v>
      </c>
      <c r="B14" s="15">
        <f t="shared" si="1"/>
        <v>10</v>
      </c>
      <c r="C14" s="19" t="s">
        <v>929</v>
      </c>
      <c r="D14" s="18" t="str">
        <f t="shared" si="2"/>
        <v>A</v>
      </c>
      <c r="E14" s="27" t="str">
        <f>_xlfn.IFNA(VLOOKUP($C14&amp;","&amp;E3,$C$34:$D$112,2,FALSE),"")</f>
        <v>47</v>
      </c>
      <c r="F14" s="27" t="str">
        <f>_xlfn.IFNA(VLOOKUP($C14&amp;","&amp;F3,$C$34:$D$112,2,FALSE),"")</f>
        <v>4C</v>
      </c>
      <c r="G14" s="27" t="str">
        <f>_xlfn.IFNA(VLOOKUP($C14&amp;","&amp;G3,$C$34:$D$112,2,FALSE),"")</f>
        <v>4D</v>
      </c>
      <c r="H14" s="27" t="str">
        <f>_xlfn.IFNA(VLOOKUP($C14&amp;","&amp;H3,$C$34:$D$112,2,FALSE),"")</f>
        <v>4E</v>
      </c>
      <c r="I14" s="27" t="str">
        <f>_xlfn.IFNA(VLOOKUP($C14&amp;","&amp;I3,$C$34:$D$112,2,FALSE),"")</f>
        <v>4F</v>
      </c>
      <c r="J14" s="27" t="str">
        <f>_xlfn.IFNA(VLOOKUP($C14&amp;","&amp;J3,$C$34:$D$112,2,FALSE),"")</f>
        <v>50</v>
      </c>
      <c r="K14" s="27" t="str">
        <f>_xlfn.IFNA(VLOOKUP($C14&amp;","&amp;K3,$C$34:$D$112,2,FALSE),"")</f>
        <v>51</v>
      </c>
      <c r="L14" s="27" t="str">
        <f>_xlfn.IFNA(VLOOKUP($C14&amp;","&amp;L3,$C$34:$D$112,2,FALSE),"")</f>
        <v>52</v>
      </c>
      <c r="M14" s="27" t="str">
        <f>_xlfn.IFNA(VLOOKUP($C14&amp;","&amp;M3,$C$34:$D$112,2,FALSE),"")</f>
        <v>53</v>
      </c>
      <c r="N14" s="27" t="str">
        <f>_xlfn.IFNA(VLOOKUP($C14&amp;","&amp;N3,$C$34:$D$112,2,FALSE),"")</f>
        <v/>
      </c>
      <c r="O14" s="27" t="str">
        <f>_xlfn.IFNA(VLOOKUP($C14&amp;","&amp;O3,$C$34:$D$112,2,FALSE),"")</f>
        <v>4A</v>
      </c>
      <c r="P14" s="27" t="str">
        <f>_xlfn.IFNA(VLOOKUP($C14&amp;","&amp;P3,$C$34:$D$112,2,FALSE),"")</f>
        <v>45</v>
      </c>
      <c r="Q14" s="27" t="str">
        <f>_xlfn.IFNA(VLOOKUP($C14&amp;","&amp;Q3,$C$34:$D$112,2,FALSE),"")</f>
        <v>46</v>
      </c>
      <c r="R14" s="27" t="str">
        <f>_xlfn.IFNA(VLOOKUP($C14&amp;","&amp;R3,$C$34:$D$112,2,FALSE),"")</f>
        <v>4B</v>
      </c>
      <c r="S14" s="27" t="str">
        <f>_xlfn.IFNA(VLOOKUP($C14&amp;","&amp;S3,$C$34:$D$112,2,FALSE),"")</f>
        <v/>
      </c>
      <c r="T14" s="27" t="str">
        <f>_xlfn.IFNA(VLOOKUP($C14&amp;","&amp;T3,$C$34:$D$112,2,FALSE),"")</f>
        <v/>
      </c>
      <c r="U14" s="27" t="str">
        <f>_xlfn.IFNA(VLOOKUP($C14&amp;","&amp;U3,$C$34:$D$112,2,FALSE),"")</f>
        <v/>
      </c>
      <c r="V14" s="27" t="str">
        <f>_xlfn.IFNA(VLOOKUP($C14&amp;","&amp;V3,$C$34:$D$112,2,FALSE),"")</f>
        <v/>
      </c>
      <c r="W14" s="27" t="str">
        <f>_xlfn.IFNA(VLOOKUP($C14&amp;","&amp;W3,$C$34:$D$112,2,FALSE),"")</f>
        <v/>
      </c>
      <c r="X14" s="27" t="str">
        <f>_xlfn.IFNA(VLOOKUP($C14&amp;","&amp;X3,$C$34:$D$112,2,FALSE),"")</f>
        <v/>
      </c>
      <c r="Y14" s="27" t="str">
        <f>_xlfn.IFNA(VLOOKUP($C14&amp;","&amp;Y3,$C$34:$D$112,2,FALSE),"")</f>
        <v>48</v>
      </c>
      <c r="Z14" s="27" t="str">
        <f>_xlfn.IFNA(VLOOKUP($C14&amp;","&amp;Z3,$C$34:$D$112,2,FALSE),"")</f>
        <v>49</v>
      </c>
      <c r="AA14" s="27" t="str">
        <f>_xlfn.IFNA(VLOOKUP($C14&amp;","&amp;AA3,$C$34:$D$112,2,FALSE),"")</f>
        <v/>
      </c>
      <c r="AB14" s="27" t="str">
        <f>_xlfn.IFNA(VLOOKUP($C14&amp;","&amp;AB3,$C$34:$D$112,2,FALSE),"")</f>
        <v/>
      </c>
    </row>
    <row r="15" ht="20" customHeight="1" spans="1:28">
      <c r="A15" s="16">
        <v>2</v>
      </c>
      <c r="B15" s="15">
        <f t="shared" si="1"/>
        <v>11</v>
      </c>
      <c r="C15" s="19" t="s">
        <v>930</v>
      </c>
      <c r="D15" s="18" t="str">
        <f t="shared" si="2"/>
        <v>B</v>
      </c>
      <c r="E15" s="27" t="str">
        <f>_xlfn.IFNA(VLOOKUP($C15&amp;","&amp;E3,$C$34:$D$112,2,FALSE),"")</f>
        <v>54</v>
      </c>
      <c r="F15" s="27" t="str">
        <f>_xlfn.IFNA(VLOOKUP($C15&amp;","&amp;F3,$C$34:$D$112,2,FALSE),"")</f>
        <v/>
      </c>
      <c r="G15" s="27" t="str">
        <f>_xlfn.IFNA(VLOOKUP($C15&amp;","&amp;G3,$C$34:$D$112,2,FALSE),"")</f>
        <v/>
      </c>
      <c r="H15" s="27" t="str">
        <f>_xlfn.IFNA(VLOOKUP($C15&amp;","&amp;H3,$C$34:$D$112,2,FALSE),"")</f>
        <v/>
      </c>
      <c r="I15" s="27" t="str">
        <f>_xlfn.IFNA(VLOOKUP($C15&amp;","&amp;I3,$C$34:$D$112,2,FALSE),"")</f>
        <v/>
      </c>
      <c r="J15" s="27" t="str">
        <f>_xlfn.IFNA(VLOOKUP($C15&amp;","&amp;J3,$C$34:$D$112,2,FALSE),"")</f>
        <v/>
      </c>
      <c r="K15" s="27" t="str">
        <f>_xlfn.IFNA(VLOOKUP($C15&amp;","&amp;K3,$C$34:$D$112,2,FALSE),"")</f>
        <v/>
      </c>
      <c r="L15" s="27" t="str">
        <f>_xlfn.IFNA(VLOOKUP($C15&amp;","&amp;L3,$C$34:$D$112,2,FALSE),"")</f>
        <v/>
      </c>
      <c r="M15" s="27" t="str">
        <f>_xlfn.IFNA(VLOOKUP($C15&amp;","&amp;M3,$C$34:$D$112,2,FALSE),"")</f>
        <v/>
      </c>
      <c r="N15" s="27" t="str">
        <f>_xlfn.IFNA(VLOOKUP($C15&amp;","&amp;N3,$C$34:$D$112,2,FALSE),"")</f>
        <v/>
      </c>
      <c r="O15" s="27" t="str">
        <f>_xlfn.IFNA(VLOOKUP($C15&amp;","&amp;O3,$C$34:$D$112,2,FALSE),"")</f>
        <v/>
      </c>
      <c r="P15" s="27" t="str">
        <f>_xlfn.IFNA(VLOOKUP($C15&amp;","&amp;P3,$C$34:$D$112,2,FALSE),"")</f>
        <v/>
      </c>
      <c r="Q15" s="27" t="str">
        <f>_xlfn.IFNA(VLOOKUP($C15&amp;","&amp;Q3,$C$34:$D$112,2,FALSE),"")</f>
        <v/>
      </c>
      <c r="R15" s="27" t="str">
        <f>_xlfn.IFNA(VLOOKUP($C15&amp;","&amp;R3,$C$34:$D$112,2,FALSE),"")</f>
        <v/>
      </c>
      <c r="S15" s="27" t="str">
        <f>_xlfn.IFNA(VLOOKUP($C15&amp;","&amp;S3,$C$34:$D$112,2,FALSE),"")</f>
        <v/>
      </c>
      <c r="T15" s="27" t="str">
        <f>_xlfn.IFNA(VLOOKUP($C15&amp;","&amp;T3,$C$34:$D$112,2,FALSE),"")</f>
        <v/>
      </c>
      <c r="U15" s="27" t="str">
        <f>_xlfn.IFNA(VLOOKUP($C15&amp;","&amp;U3,$C$34:$D$112,2,FALSE),"")</f>
        <v/>
      </c>
      <c r="V15" s="27" t="str">
        <f>_xlfn.IFNA(VLOOKUP($C15&amp;","&amp;V3,$C$34:$D$112,2,FALSE),"")</f>
        <v/>
      </c>
      <c r="W15" s="27" t="str">
        <f>_xlfn.IFNA(VLOOKUP($C15&amp;","&amp;W3,$C$34:$D$112,2,FALSE),"")</f>
        <v/>
      </c>
      <c r="X15" s="27" t="str">
        <f>_xlfn.IFNA(VLOOKUP($C15&amp;","&amp;X3,$C$34:$D$112,2,FALSE),"")</f>
        <v/>
      </c>
      <c r="Y15" s="27" t="str">
        <f>_xlfn.IFNA(VLOOKUP($C15&amp;","&amp;Y3,$C$34:$D$112,2,FALSE),"")</f>
        <v/>
      </c>
      <c r="Z15" s="27" t="str">
        <f>_xlfn.IFNA(VLOOKUP($C15&amp;","&amp;Z3,$C$34:$D$112,2,FALSE),"")</f>
        <v/>
      </c>
      <c r="AA15" s="27" t="str">
        <f>_xlfn.IFNA(VLOOKUP($C15&amp;","&amp;AA3,$C$34:$D$112,2,FALSE),"")</f>
        <v/>
      </c>
      <c r="AB15" s="27" t="str">
        <f>_xlfn.IFNA(VLOOKUP($C15&amp;","&amp;AB3,$C$34:$D$112,2,FALSE),"")</f>
        <v/>
      </c>
    </row>
    <row r="16" ht="20" customHeight="1" spans="1:28">
      <c r="A16" s="16">
        <v>2</v>
      </c>
      <c r="B16" s="15">
        <f t="shared" si="1"/>
        <v>12</v>
      </c>
      <c r="C16" s="19" t="s">
        <v>931</v>
      </c>
      <c r="D16" s="18" t="str">
        <f t="shared" si="2"/>
        <v>C</v>
      </c>
      <c r="E16" s="27" t="str">
        <f>_xlfn.IFNA(VLOOKUP($C16&amp;","&amp;E3,$C$34:$D$112,2,FALSE),"")</f>
        <v>58</v>
      </c>
      <c r="F16" s="27" t="str">
        <f>_xlfn.IFNA(VLOOKUP($C16&amp;","&amp;F3,$C$34:$D$112,2,FALSE),"")</f>
        <v/>
      </c>
      <c r="G16" s="27" t="str">
        <f>_xlfn.IFNA(VLOOKUP($C16&amp;","&amp;G3,$C$34:$D$112,2,FALSE),"")</f>
        <v/>
      </c>
      <c r="H16" s="27" t="str">
        <f>_xlfn.IFNA(VLOOKUP($C16&amp;","&amp;H3,$C$34:$D$112,2,FALSE),"")</f>
        <v/>
      </c>
      <c r="I16" s="27" t="str">
        <f>_xlfn.IFNA(VLOOKUP($C16&amp;","&amp;I3,$C$34:$D$112,2,FALSE),"")</f>
        <v/>
      </c>
      <c r="J16" s="27" t="str">
        <f>_xlfn.IFNA(VLOOKUP($C16&amp;","&amp;J3,$C$34:$D$112,2,FALSE),"")</f>
        <v/>
      </c>
      <c r="K16" s="27" t="str">
        <f>_xlfn.IFNA(VLOOKUP($C16&amp;","&amp;K3,$C$34:$D$112,2,FALSE),"")</f>
        <v/>
      </c>
      <c r="L16" s="27" t="str">
        <f>_xlfn.IFNA(VLOOKUP($C16&amp;","&amp;L3,$C$34:$D$112,2,FALSE),"")</f>
        <v/>
      </c>
      <c r="M16" s="27" t="str">
        <f>_xlfn.IFNA(VLOOKUP($C16&amp;","&amp;M3,$C$34:$D$112,2,FALSE),"")</f>
        <v/>
      </c>
      <c r="N16" s="27" t="str">
        <f>_xlfn.IFNA(VLOOKUP($C16&amp;","&amp;N3,$C$34:$D$112,2,FALSE),"")</f>
        <v/>
      </c>
      <c r="O16" s="27" t="str">
        <f>_xlfn.IFNA(VLOOKUP($C16&amp;","&amp;O3,$C$34:$D$112,2,FALSE),"")</f>
        <v/>
      </c>
      <c r="P16" s="27" t="str">
        <f>_xlfn.IFNA(VLOOKUP($C16&amp;","&amp;P3,$C$34:$D$112,2,FALSE),"")</f>
        <v>56</v>
      </c>
      <c r="Q16" s="27" t="str">
        <f>_xlfn.IFNA(VLOOKUP($C16&amp;","&amp;Q3,$C$34:$D$112,2,FALSE),"")</f>
        <v>57</v>
      </c>
      <c r="R16" s="27" t="str">
        <f>_xlfn.IFNA(VLOOKUP($C16&amp;","&amp;R3,$C$34:$D$112,2,FALSE),"")</f>
        <v/>
      </c>
      <c r="S16" s="27" t="str">
        <f>_xlfn.IFNA(VLOOKUP($C16&amp;","&amp;S3,$C$34:$D$112,2,FALSE),"")</f>
        <v/>
      </c>
      <c r="T16" s="27" t="str">
        <f>_xlfn.IFNA(VLOOKUP($C16&amp;","&amp;T3,$C$34:$D$112,2,FALSE),"")</f>
        <v/>
      </c>
      <c r="U16" s="27" t="str">
        <f>_xlfn.IFNA(VLOOKUP($C16&amp;","&amp;U3,$C$34:$D$112,2,FALSE),"")</f>
        <v/>
      </c>
      <c r="V16" s="27" t="str">
        <f>_xlfn.IFNA(VLOOKUP($C16&amp;","&amp;V3,$C$34:$D$112,2,FALSE),"")</f>
        <v>55</v>
      </c>
      <c r="W16" s="27" t="str">
        <f>_xlfn.IFNA(VLOOKUP($C16&amp;","&amp;W3,$C$34:$D$112,2,FALSE),"")</f>
        <v/>
      </c>
      <c r="X16" s="27" t="str">
        <f>_xlfn.IFNA(VLOOKUP($C16&amp;","&amp;X3,$C$34:$D$112,2,FALSE),"")</f>
        <v/>
      </c>
      <c r="Y16" s="27" t="str">
        <f>_xlfn.IFNA(VLOOKUP($C16&amp;","&amp;Y3,$C$34:$D$112,2,FALSE),"")</f>
        <v/>
      </c>
      <c r="Z16" s="27" t="str">
        <f>_xlfn.IFNA(VLOOKUP($C16&amp;","&amp;Z3,$C$34:$D$112,2,FALSE),"")</f>
        <v/>
      </c>
      <c r="AA16" s="27" t="str">
        <f>_xlfn.IFNA(VLOOKUP($C16&amp;","&amp;AA3,$C$34:$D$112,2,FALSE),"")</f>
        <v/>
      </c>
      <c r="AB16" s="27" t="str">
        <f>_xlfn.IFNA(VLOOKUP($C16&amp;","&amp;AB3,$C$34:$D$112,2,FALSE),"")</f>
        <v/>
      </c>
    </row>
    <row r="17" ht="20" customHeight="1" spans="1:28">
      <c r="A17" s="16">
        <v>2</v>
      </c>
      <c r="B17" s="15">
        <f t="shared" si="1"/>
        <v>13</v>
      </c>
      <c r="C17" s="19" t="s">
        <v>932</v>
      </c>
      <c r="D17" s="18" t="str">
        <f t="shared" si="2"/>
        <v>D</v>
      </c>
      <c r="E17" s="27" t="str">
        <f>_xlfn.IFNA(VLOOKUP($C17&amp;","&amp;E3,$C$34:$D$112,2,FALSE),"")</f>
        <v>59</v>
      </c>
      <c r="F17" s="27" t="str">
        <f>_xlfn.IFNA(VLOOKUP($C17&amp;","&amp;F3,$C$34:$D$112,2,FALSE),"")</f>
        <v/>
      </c>
      <c r="G17" s="27" t="str">
        <f>_xlfn.IFNA(VLOOKUP($C17&amp;","&amp;G3,$C$34:$D$112,2,FALSE),"")</f>
        <v/>
      </c>
      <c r="H17" s="27" t="str">
        <f>_xlfn.IFNA(VLOOKUP($C17&amp;","&amp;H3,$C$34:$D$112,2,FALSE),"")</f>
        <v/>
      </c>
      <c r="I17" s="27" t="str">
        <f>_xlfn.IFNA(VLOOKUP($C17&amp;","&amp;I3,$C$34:$D$112,2,FALSE),"")</f>
        <v/>
      </c>
      <c r="J17" s="27" t="str">
        <f>_xlfn.IFNA(VLOOKUP($C17&amp;","&amp;J3,$C$34:$D$112,2,FALSE),"")</f>
        <v/>
      </c>
      <c r="K17" s="27" t="str">
        <f>_xlfn.IFNA(VLOOKUP($C17&amp;","&amp;K3,$C$34:$D$112,2,FALSE),"")</f>
        <v/>
      </c>
      <c r="L17" s="27" t="str">
        <f>_xlfn.IFNA(VLOOKUP($C17&amp;","&amp;L3,$C$34:$D$112,2,FALSE),"")</f>
        <v/>
      </c>
      <c r="M17" s="27" t="str">
        <f>_xlfn.IFNA(VLOOKUP($C17&amp;","&amp;M3,$C$34:$D$112,2,FALSE),"")</f>
        <v/>
      </c>
      <c r="N17" s="27" t="str">
        <f>_xlfn.IFNA(VLOOKUP($C17&amp;","&amp;N3,$C$34:$D$112,2,FALSE),"")</f>
        <v/>
      </c>
      <c r="O17" s="27" t="str">
        <f>_xlfn.IFNA(VLOOKUP($C17&amp;","&amp;O3,$C$34:$D$112,2,FALSE),"")</f>
        <v>5B</v>
      </c>
      <c r="P17" s="27" t="str">
        <f>_xlfn.IFNA(VLOOKUP($C17&amp;","&amp;P3,$C$34:$D$112,2,FALSE),"")</f>
        <v/>
      </c>
      <c r="Q17" s="27" t="str">
        <f>_xlfn.IFNA(VLOOKUP($C17&amp;","&amp;Q3,$C$34:$D$112,2,FALSE),"")</f>
        <v/>
      </c>
      <c r="R17" s="27" t="str">
        <f>_xlfn.IFNA(VLOOKUP($C17&amp;","&amp;R3,$C$34:$D$112,2,FALSE),"")</f>
        <v/>
      </c>
      <c r="S17" s="27" t="str">
        <f>_xlfn.IFNA(VLOOKUP($C17&amp;","&amp;S3,$C$34:$D$112,2,FALSE),"")</f>
        <v/>
      </c>
      <c r="T17" s="27" t="str">
        <f>_xlfn.IFNA(VLOOKUP($C17&amp;","&amp;T3,$C$34:$D$112,2,FALSE),"")</f>
        <v/>
      </c>
      <c r="U17" s="27" t="str">
        <f>_xlfn.IFNA(VLOOKUP($C17&amp;","&amp;U3,$C$34:$D$112,2,FALSE),"")</f>
        <v/>
      </c>
      <c r="V17" s="27" t="str">
        <f>_xlfn.IFNA(VLOOKUP($C17&amp;","&amp;V3,$C$34:$D$112,2,FALSE),"")</f>
        <v/>
      </c>
      <c r="W17" s="27" t="str">
        <f>_xlfn.IFNA(VLOOKUP($C17&amp;","&amp;W3,$C$34:$D$112,2,FALSE),"")</f>
        <v/>
      </c>
      <c r="X17" s="27" t="str">
        <f>_xlfn.IFNA(VLOOKUP($C17&amp;","&amp;X3,$C$34:$D$112,2,FALSE),"")</f>
        <v/>
      </c>
      <c r="Y17" s="27" t="str">
        <f>_xlfn.IFNA(VLOOKUP($C17&amp;","&amp;Y3,$C$34:$D$112,2,FALSE),"")</f>
        <v/>
      </c>
      <c r="Z17" s="27" t="str">
        <f>_xlfn.IFNA(VLOOKUP($C17&amp;","&amp;Z3,$C$34:$D$112,2,FALSE),"")</f>
        <v>5A</v>
      </c>
      <c r="AA17" s="27" t="str">
        <f>_xlfn.IFNA(VLOOKUP($C17&amp;","&amp;AA3,$C$34:$D$112,2,FALSE),"")</f>
        <v/>
      </c>
      <c r="AB17" s="27" t="str">
        <f>_xlfn.IFNA(VLOOKUP($C17&amp;","&amp;AB3,$C$34:$D$112,2,FALSE),"")</f>
        <v/>
      </c>
    </row>
    <row r="18" ht="20" customHeight="1" spans="1:28">
      <c r="A18" s="16">
        <v>2</v>
      </c>
      <c r="B18" s="15">
        <f t="shared" si="1"/>
        <v>14</v>
      </c>
      <c r="C18" s="19" t="s">
        <v>933</v>
      </c>
      <c r="D18" s="18" t="str">
        <f t="shared" si="2"/>
        <v>E</v>
      </c>
      <c r="E18" s="27" t="str">
        <f>_xlfn.IFNA(VLOOKUP($C18&amp;","&amp;E3,$C$34:$D$112,2,FALSE),"")</f>
        <v>5C</v>
      </c>
      <c r="F18" s="27" t="str">
        <f>_xlfn.IFNA(VLOOKUP($C18&amp;","&amp;F3,$C$34:$D$112,2,FALSE),"")</f>
        <v/>
      </c>
      <c r="G18" s="27" t="str">
        <f>_xlfn.IFNA(VLOOKUP($C18&amp;","&amp;G3,$C$34:$D$112,2,FALSE),"")</f>
        <v/>
      </c>
      <c r="H18" s="27" t="str">
        <f>_xlfn.IFNA(VLOOKUP($C18&amp;","&amp;H3,$C$34:$D$112,2,FALSE),"")</f>
        <v/>
      </c>
      <c r="I18" s="27" t="str">
        <f>_xlfn.IFNA(VLOOKUP($C18&amp;","&amp;I3,$C$34:$D$112,2,FALSE),"")</f>
        <v/>
      </c>
      <c r="J18" s="27" t="str">
        <f>_xlfn.IFNA(VLOOKUP($C18&amp;","&amp;J3,$C$34:$D$112,2,FALSE),"")</f>
        <v/>
      </c>
      <c r="K18" s="27" t="str">
        <f>_xlfn.IFNA(VLOOKUP($C18&amp;","&amp;K3,$C$34:$D$112,2,FALSE),"")</f>
        <v/>
      </c>
      <c r="L18" s="27" t="str">
        <f>_xlfn.IFNA(VLOOKUP($C18&amp;","&amp;L3,$C$34:$D$112,2,FALSE),"")</f>
        <v/>
      </c>
      <c r="M18" s="27" t="str">
        <f>_xlfn.IFNA(VLOOKUP($C18&amp;","&amp;M3,$C$34:$D$112,2,FALSE),"")</f>
        <v/>
      </c>
      <c r="N18" s="27" t="str">
        <f>_xlfn.IFNA(VLOOKUP($C18&amp;","&amp;N3,$C$34:$D$112,2,FALSE),"")</f>
        <v/>
      </c>
      <c r="O18" s="27" t="str">
        <f>_xlfn.IFNA(VLOOKUP($C18&amp;","&amp;O3,$C$34:$D$112,2,FALSE),"")</f>
        <v/>
      </c>
      <c r="P18" s="27" t="str">
        <f>_xlfn.IFNA(VLOOKUP($C18&amp;","&amp;P3,$C$34:$D$112,2,FALSE),"")</f>
        <v/>
      </c>
      <c r="Q18" s="27" t="str">
        <f>_xlfn.IFNA(VLOOKUP($C18&amp;","&amp;Q3,$C$34:$D$112,2,FALSE),"")</f>
        <v/>
      </c>
      <c r="R18" s="27" t="str">
        <f>_xlfn.IFNA(VLOOKUP($C18&amp;","&amp;R3,$C$34:$D$112,2,FALSE),"")</f>
        <v/>
      </c>
      <c r="S18" s="27" t="str">
        <f>_xlfn.IFNA(VLOOKUP($C18&amp;","&amp;S3,$C$34:$D$112,2,FALSE),"")</f>
        <v/>
      </c>
      <c r="T18" s="27" t="str">
        <f>_xlfn.IFNA(VLOOKUP($C18&amp;","&amp;T3,$C$34:$D$112,2,FALSE),"")</f>
        <v/>
      </c>
      <c r="U18" s="27" t="str">
        <f>_xlfn.IFNA(VLOOKUP($C18&amp;","&amp;U3,$C$34:$D$112,2,FALSE),"")</f>
        <v/>
      </c>
      <c r="V18" s="27" t="str">
        <f>_xlfn.IFNA(VLOOKUP($C18&amp;","&amp;V3,$C$34:$D$112,2,FALSE),"")</f>
        <v/>
      </c>
      <c r="W18" s="27" t="str">
        <f>_xlfn.IFNA(VLOOKUP($C18&amp;","&amp;W3,$C$34:$D$112,2,FALSE),"")</f>
        <v/>
      </c>
      <c r="X18" s="27" t="str">
        <f>_xlfn.IFNA(VLOOKUP($C18&amp;","&amp;X3,$C$34:$D$112,2,FALSE),"")</f>
        <v/>
      </c>
      <c r="Y18" s="27" t="str">
        <f>_xlfn.IFNA(VLOOKUP($C18&amp;","&amp;Y3,$C$34:$D$112,2,FALSE),"")</f>
        <v/>
      </c>
      <c r="Z18" s="27" t="str">
        <f>_xlfn.IFNA(VLOOKUP($C18&amp;","&amp;Z3,$C$34:$D$112,2,FALSE),"")</f>
        <v/>
      </c>
      <c r="AA18" s="27" t="str">
        <f>_xlfn.IFNA(VLOOKUP($C18&amp;","&amp;AA3,$C$34:$D$112,2,FALSE),"")</f>
        <v/>
      </c>
      <c r="AB18" s="27" t="str">
        <f>_xlfn.IFNA(VLOOKUP($C18&amp;","&amp;AB3,$C$34:$D$112,2,FALSE),"")</f>
        <v/>
      </c>
    </row>
    <row r="19" ht="20" customHeight="1" spans="1:28">
      <c r="A19" s="16">
        <v>2</v>
      </c>
      <c r="B19" s="15">
        <f t="shared" si="1"/>
        <v>15</v>
      </c>
      <c r="C19" s="19" t="s">
        <v>934</v>
      </c>
      <c r="D19" s="18" t="str">
        <f t="shared" si="2"/>
        <v>F</v>
      </c>
      <c r="E19" s="27" t="str">
        <f>_xlfn.IFNA(VLOOKUP($C19&amp;","&amp;E3,$C$34:$D$112,2,FALSE),"")</f>
        <v>5D</v>
      </c>
      <c r="F19" s="27" t="str">
        <f>_xlfn.IFNA(VLOOKUP($C19&amp;","&amp;F3,$C$34:$D$112,2,FALSE),"")</f>
        <v/>
      </c>
      <c r="G19" s="27" t="str">
        <f>_xlfn.IFNA(VLOOKUP($C19&amp;","&amp;G3,$C$34:$D$112,2,FALSE),"")</f>
        <v/>
      </c>
      <c r="H19" s="27" t="str">
        <f>_xlfn.IFNA(VLOOKUP($C19&amp;","&amp;H3,$C$34:$D$112,2,FALSE),"")</f>
        <v/>
      </c>
      <c r="I19" s="27" t="str">
        <f>_xlfn.IFNA(VLOOKUP($C19&amp;","&amp;I3,$C$34:$D$112,2,FALSE),"")</f>
        <v/>
      </c>
      <c r="J19" s="27" t="str">
        <f>_xlfn.IFNA(VLOOKUP($C19&amp;","&amp;J3,$C$34:$D$112,2,FALSE),"")</f>
        <v/>
      </c>
      <c r="K19" s="27" t="str">
        <f>_xlfn.IFNA(VLOOKUP($C19&amp;","&amp;K3,$C$34:$D$112,2,FALSE),"")</f>
        <v/>
      </c>
      <c r="L19" s="27" t="str">
        <f>_xlfn.IFNA(VLOOKUP($C19&amp;","&amp;L3,$C$34:$D$112,2,FALSE),"")</f>
        <v/>
      </c>
      <c r="M19" s="27" t="str">
        <f>_xlfn.IFNA(VLOOKUP($C19&amp;","&amp;M3,$C$34:$D$112,2,FALSE),"")</f>
        <v/>
      </c>
      <c r="N19" s="27" t="str">
        <f>_xlfn.IFNA(VLOOKUP($C19&amp;","&amp;N3,$C$34:$D$112,2,FALSE),"")</f>
        <v/>
      </c>
      <c r="O19" s="27" t="str">
        <f>_xlfn.IFNA(VLOOKUP($C19&amp;","&amp;O3,$C$34:$D$112,2,FALSE),"")</f>
        <v/>
      </c>
      <c r="P19" s="27" t="str">
        <f>_xlfn.IFNA(VLOOKUP($C19&amp;","&amp;P3,$C$34:$D$112,2,FALSE),"")</f>
        <v/>
      </c>
      <c r="Q19" s="27" t="str">
        <f>_xlfn.IFNA(VLOOKUP($C19&amp;","&amp;Q3,$C$34:$D$112,2,FALSE),"")</f>
        <v/>
      </c>
      <c r="R19" s="27" t="str">
        <f>_xlfn.IFNA(VLOOKUP($C19&amp;","&amp;R3,$C$34:$D$112,2,FALSE),"")</f>
        <v/>
      </c>
      <c r="S19" s="27" t="str">
        <f>_xlfn.IFNA(VLOOKUP($C19&amp;","&amp;S3,$C$34:$D$112,2,FALSE),"")</f>
        <v/>
      </c>
      <c r="T19" s="27" t="str">
        <f>_xlfn.IFNA(VLOOKUP($C19&amp;","&amp;T3,$C$34:$D$112,2,FALSE),"")</f>
        <v/>
      </c>
      <c r="U19" s="27" t="str">
        <f>_xlfn.IFNA(VLOOKUP($C19&amp;","&amp;U3,$C$34:$D$112,2,FALSE),"")</f>
        <v/>
      </c>
      <c r="V19" s="27" t="str">
        <f>_xlfn.IFNA(VLOOKUP($C19&amp;","&amp;V3,$C$34:$D$112,2,FALSE),"")</f>
        <v/>
      </c>
      <c r="W19" s="27" t="str">
        <f>_xlfn.IFNA(VLOOKUP($C19&amp;","&amp;W3,$C$34:$D$112,2,FALSE),"")</f>
        <v/>
      </c>
      <c r="X19" s="27" t="str">
        <f>_xlfn.IFNA(VLOOKUP($C19&amp;","&amp;X3,$C$34:$D$112,2,FALSE),"")</f>
        <v/>
      </c>
      <c r="Y19" s="27" t="str">
        <f>_xlfn.IFNA(VLOOKUP($C19&amp;","&amp;Y3,$C$34:$D$112,2,FALSE),"")</f>
        <v/>
      </c>
      <c r="Z19" s="27" t="str">
        <f>_xlfn.IFNA(VLOOKUP($C19&amp;","&amp;Z3,$C$34:$D$112,2,FALSE),"")</f>
        <v/>
      </c>
      <c r="AA19" s="27" t="str">
        <f>_xlfn.IFNA(VLOOKUP($C19&amp;","&amp;AA3,$C$34:$D$112,2,FALSE),"")</f>
        <v/>
      </c>
      <c r="AB19" s="27" t="str">
        <f>_xlfn.IFNA(VLOOKUP($C19&amp;","&amp;AB3,$C$34:$D$112,2,FALSE),"")</f>
        <v/>
      </c>
    </row>
    <row r="20" ht="20" customHeight="1" spans="1:28">
      <c r="A20" s="16">
        <v>2</v>
      </c>
      <c r="B20" s="15">
        <f t="shared" si="1"/>
        <v>16</v>
      </c>
      <c r="C20" s="19" t="s">
        <v>935</v>
      </c>
      <c r="D20" s="18" t="str">
        <f t="shared" si="2"/>
        <v>10</v>
      </c>
      <c r="E20" s="27" t="str">
        <f>_xlfn.IFNA(VLOOKUP($C20&amp;","&amp;E3,$C$34:$D$112,2,FALSE),"")</f>
        <v>5E</v>
      </c>
      <c r="F20" s="27" t="str">
        <f>_xlfn.IFNA(VLOOKUP($C20&amp;","&amp;F3,$C$34:$D$112,2,FALSE),"")</f>
        <v/>
      </c>
      <c r="G20" s="27" t="str">
        <f>_xlfn.IFNA(VLOOKUP($C20&amp;","&amp;G3,$C$34:$D$112,2,FALSE),"")</f>
        <v/>
      </c>
      <c r="H20" s="27" t="str">
        <f>_xlfn.IFNA(VLOOKUP($C20&amp;","&amp;H3,$C$34:$D$112,2,FALSE),"")</f>
        <v/>
      </c>
      <c r="I20" s="27" t="str">
        <f>_xlfn.IFNA(VLOOKUP($C20&amp;","&amp;I3,$C$34:$D$112,2,FALSE),"")</f>
        <v/>
      </c>
      <c r="J20" s="27" t="str">
        <f>_xlfn.IFNA(VLOOKUP($C20&amp;","&amp;J3,$C$34:$D$112,2,FALSE),"")</f>
        <v/>
      </c>
      <c r="K20" s="27" t="str">
        <f>_xlfn.IFNA(VLOOKUP($C20&amp;","&amp;K3,$C$34:$D$112,2,FALSE),"")</f>
        <v/>
      </c>
      <c r="L20" s="27" t="str">
        <f>_xlfn.IFNA(VLOOKUP($C20&amp;","&amp;L3,$C$34:$D$112,2,FALSE),"")</f>
        <v/>
      </c>
      <c r="M20" s="27" t="str">
        <f>_xlfn.IFNA(VLOOKUP($C20&amp;","&amp;M3,$C$34:$D$112,2,FALSE),"")</f>
        <v/>
      </c>
      <c r="N20" s="27" t="str">
        <f>_xlfn.IFNA(VLOOKUP($C20&amp;","&amp;N3,$C$34:$D$112,2,FALSE),"")</f>
        <v/>
      </c>
      <c r="O20" s="27" t="str">
        <f>_xlfn.IFNA(VLOOKUP($C20&amp;","&amp;O3,$C$34:$D$112,2,FALSE),"")</f>
        <v/>
      </c>
      <c r="P20" s="27" t="str">
        <f>_xlfn.IFNA(VLOOKUP($C20&amp;","&amp;P3,$C$34:$D$112,2,FALSE),"")</f>
        <v/>
      </c>
      <c r="Q20" s="27" t="str">
        <f>_xlfn.IFNA(VLOOKUP($C20&amp;","&amp;Q3,$C$34:$D$112,2,FALSE),"")</f>
        <v/>
      </c>
      <c r="R20" s="27" t="str">
        <f>_xlfn.IFNA(VLOOKUP($C20&amp;","&amp;R3,$C$34:$D$112,2,FALSE),"")</f>
        <v/>
      </c>
      <c r="S20" s="27" t="str">
        <f>_xlfn.IFNA(VLOOKUP($C20&amp;","&amp;S3,$C$34:$D$112,2,FALSE),"")</f>
        <v/>
      </c>
      <c r="T20" s="27" t="str">
        <f>_xlfn.IFNA(VLOOKUP($C20&amp;","&amp;T3,$C$34:$D$112,2,FALSE),"")</f>
        <v/>
      </c>
      <c r="U20" s="27" t="str">
        <f>_xlfn.IFNA(VLOOKUP($C20&amp;","&amp;U3,$C$34:$D$112,2,FALSE),"")</f>
        <v/>
      </c>
      <c r="V20" s="27" t="str">
        <f>_xlfn.IFNA(VLOOKUP($C20&amp;","&amp;V3,$C$34:$D$112,2,FALSE),"")</f>
        <v/>
      </c>
      <c r="W20" s="27" t="str">
        <f>_xlfn.IFNA(VLOOKUP($C20&amp;","&amp;W3,$C$34:$D$112,2,FALSE),"")</f>
        <v/>
      </c>
      <c r="X20" s="27" t="str">
        <f>_xlfn.IFNA(VLOOKUP($C20&amp;","&amp;X3,$C$34:$D$112,2,FALSE),"")</f>
        <v/>
      </c>
      <c r="Y20" s="27" t="str">
        <f>_xlfn.IFNA(VLOOKUP($C20&amp;","&amp;Y3,$C$34:$D$112,2,FALSE),"")</f>
        <v/>
      </c>
      <c r="Z20" s="27" t="str">
        <f>_xlfn.IFNA(VLOOKUP($C20&amp;","&amp;Z3,$C$34:$D$112,2,FALSE),"")</f>
        <v/>
      </c>
      <c r="AA20" s="27" t="str">
        <f>_xlfn.IFNA(VLOOKUP($C20&amp;","&amp;AA3,$C$34:$D$112,2,FALSE),"")</f>
        <v/>
      </c>
      <c r="AB20" s="27" t="str">
        <f>_xlfn.IFNA(VLOOKUP($C20&amp;","&amp;AB3,$C$34:$D$112,2,FALSE),"")</f>
        <v/>
      </c>
    </row>
    <row r="21" ht="20" customHeight="1" spans="1:28">
      <c r="A21" s="16">
        <v>2</v>
      </c>
      <c r="B21" s="15">
        <f t="shared" si="1"/>
        <v>17</v>
      </c>
      <c r="C21" s="19" t="s">
        <v>936</v>
      </c>
      <c r="D21" s="18" t="str">
        <f t="shared" si="2"/>
        <v>11</v>
      </c>
      <c r="E21" s="27" t="str">
        <f>_xlfn.IFNA(VLOOKUP($C21&amp;","&amp;E3,$C$34:$D$112,2,FALSE),"")</f>
        <v>5F</v>
      </c>
      <c r="F21" s="27" t="str">
        <f>_xlfn.IFNA(VLOOKUP($C21&amp;","&amp;F3,$C$34:$D$112,2,FALSE),"")</f>
        <v/>
      </c>
      <c r="G21" s="27" t="str">
        <f>_xlfn.IFNA(VLOOKUP($C21&amp;","&amp;G3,$C$34:$D$112,2,FALSE),"")</f>
        <v/>
      </c>
      <c r="H21" s="27" t="str">
        <f>_xlfn.IFNA(VLOOKUP($C21&amp;","&amp;H3,$C$34:$D$112,2,FALSE),"")</f>
        <v/>
      </c>
      <c r="I21" s="27" t="str">
        <f>_xlfn.IFNA(VLOOKUP($C21&amp;","&amp;I3,$C$34:$D$112,2,FALSE),"")</f>
        <v/>
      </c>
      <c r="J21" s="27" t="str">
        <f>_xlfn.IFNA(VLOOKUP($C21&amp;","&amp;J3,$C$34:$D$112,2,FALSE),"")</f>
        <v/>
      </c>
      <c r="K21" s="27" t="str">
        <f>_xlfn.IFNA(VLOOKUP($C21&amp;","&amp;K3,$C$34:$D$112,2,FALSE),"")</f>
        <v/>
      </c>
      <c r="L21" s="27" t="str">
        <f>_xlfn.IFNA(VLOOKUP($C21&amp;","&amp;L3,$C$34:$D$112,2,FALSE),"")</f>
        <v/>
      </c>
      <c r="M21" s="27" t="str">
        <f>_xlfn.IFNA(VLOOKUP($C21&amp;","&amp;M3,$C$34:$D$112,2,FALSE),"")</f>
        <v/>
      </c>
      <c r="N21" s="27" t="str">
        <f>_xlfn.IFNA(VLOOKUP($C21&amp;","&amp;N3,$C$34:$D$112,2,FALSE),"")</f>
        <v/>
      </c>
      <c r="O21" s="27" t="str">
        <f>_xlfn.IFNA(VLOOKUP($C21&amp;","&amp;O3,$C$34:$D$112,2,FALSE),"")</f>
        <v>60</v>
      </c>
      <c r="P21" s="27" t="str">
        <f>_xlfn.IFNA(VLOOKUP($C21&amp;","&amp;P3,$C$34:$D$112,2,FALSE),"")</f>
        <v/>
      </c>
      <c r="Q21" s="27" t="str">
        <f>_xlfn.IFNA(VLOOKUP($C21&amp;","&amp;Q3,$C$34:$D$112,2,FALSE),"")</f>
        <v/>
      </c>
      <c r="R21" s="27" t="str">
        <f>_xlfn.IFNA(VLOOKUP($C21&amp;","&amp;R3,$C$34:$D$112,2,FALSE),"")</f>
        <v/>
      </c>
      <c r="S21" s="27" t="str">
        <f>_xlfn.IFNA(VLOOKUP($C21&amp;","&amp;S3,$C$34:$D$112,2,FALSE),"")</f>
        <v/>
      </c>
      <c r="T21" s="27" t="str">
        <f>_xlfn.IFNA(VLOOKUP($C21&amp;","&amp;T3,$C$34:$D$112,2,FALSE),"")</f>
        <v/>
      </c>
      <c r="U21" s="27" t="str">
        <f>_xlfn.IFNA(VLOOKUP($C21&amp;","&amp;U3,$C$34:$D$112,2,FALSE),"")</f>
        <v/>
      </c>
      <c r="V21" s="27" t="str">
        <f>_xlfn.IFNA(VLOOKUP($C21&amp;","&amp;V3,$C$34:$D$112,2,FALSE),"")</f>
        <v/>
      </c>
      <c r="W21" s="27" t="str">
        <f>_xlfn.IFNA(VLOOKUP($C21&amp;","&amp;W3,$C$34:$D$112,2,FALSE),"")</f>
        <v/>
      </c>
      <c r="X21" s="27" t="str">
        <f>_xlfn.IFNA(VLOOKUP($C21&amp;","&amp;X3,$C$34:$D$112,2,FALSE),"")</f>
        <v/>
      </c>
      <c r="Y21" s="27" t="str">
        <f>_xlfn.IFNA(VLOOKUP($C21&amp;","&amp;Y3,$C$34:$D$112,2,FALSE),"")</f>
        <v/>
      </c>
      <c r="Z21" s="27" t="str">
        <f>_xlfn.IFNA(VLOOKUP($C21&amp;","&amp;Z3,$C$34:$D$112,2,FALSE),"")</f>
        <v/>
      </c>
      <c r="AA21" s="27" t="str">
        <f>_xlfn.IFNA(VLOOKUP($C21&amp;","&amp;AA3,$C$34:$D$112,2,FALSE),"")</f>
        <v/>
      </c>
      <c r="AB21" s="27" t="str">
        <f>_xlfn.IFNA(VLOOKUP($C21&amp;","&amp;AB3,$C$34:$D$112,2,FALSE),"")</f>
        <v/>
      </c>
    </row>
    <row r="22" ht="20" customHeight="1" spans="1:28">
      <c r="A22" s="16">
        <v>3</v>
      </c>
      <c r="B22" s="15">
        <f t="shared" si="1"/>
        <v>18</v>
      </c>
      <c r="C22" s="19" t="s">
        <v>937</v>
      </c>
      <c r="D22" s="18" t="str">
        <f t="shared" si="2"/>
        <v>12</v>
      </c>
      <c r="E22" s="27" t="str">
        <f>_xlfn.IFNA(VLOOKUP($C22&amp;","&amp;E3,$C$34:$D$112,2,FALSE),"")</f>
        <v/>
      </c>
      <c r="F22" s="27" t="str">
        <f>_xlfn.IFNA(VLOOKUP($C22&amp;","&amp;F3,$C$34:$D$112,2,FALSE),"")</f>
        <v/>
      </c>
      <c r="G22" s="27" t="str">
        <f>_xlfn.IFNA(VLOOKUP($C22&amp;","&amp;G3,$C$34:$D$112,2,FALSE),"")</f>
        <v/>
      </c>
      <c r="H22" s="27" t="str">
        <f>_xlfn.IFNA(VLOOKUP($C22&amp;","&amp;H3,$C$34:$D$112,2,FALSE),"")</f>
        <v/>
      </c>
      <c r="I22" s="27" t="str">
        <f>_xlfn.IFNA(VLOOKUP($C22&amp;","&amp;I3,$C$34:$D$112,2,FALSE),"")</f>
        <v/>
      </c>
      <c r="J22" s="27" t="str">
        <f>_xlfn.IFNA(VLOOKUP($C22&amp;","&amp;J3,$C$34:$D$112,2,FALSE),"")</f>
        <v/>
      </c>
      <c r="K22" s="27" t="str">
        <f>_xlfn.IFNA(VLOOKUP($C22&amp;","&amp;K3,$C$34:$D$112,2,FALSE),"")</f>
        <v/>
      </c>
      <c r="L22" s="27" t="str">
        <f>_xlfn.IFNA(VLOOKUP($C22&amp;","&amp;L3,$C$34:$D$112,2,FALSE),"")</f>
        <v/>
      </c>
      <c r="M22" s="27" t="str">
        <f>_xlfn.IFNA(VLOOKUP($C22&amp;","&amp;M3,$C$34:$D$112,2,FALSE),"")</f>
        <v/>
      </c>
      <c r="N22" s="27" t="str">
        <f>_xlfn.IFNA(VLOOKUP($C22&amp;","&amp;N3,$C$34:$D$112,2,FALSE),"")</f>
        <v/>
      </c>
      <c r="O22" s="27" t="str">
        <f>_xlfn.IFNA(VLOOKUP($C22&amp;","&amp;O3,$C$34:$D$112,2,FALSE),"")</f>
        <v/>
      </c>
      <c r="P22" s="27" t="str">
        <f>_xlfn.IFNA(VLOOKUP($C22&amp;","&amp;P3,$C$34:$D$112,2,FALSE),"")</f>
        <v/>
      </c>
      <c r="Q22" s="27" t="str">
        <f>_xlfn.IFNA(VLOOKUP($C22&amp;","&amp;Q3,$C$34:$D$112,2,FALSE),"")</f>
        <v/>
      </c>
      <c r="R22" s="27" t="str">
        <f>_xlfn.IFNA(VLOOKUP($C22&amp;","&amp;R3,$C$34:$D$112,2,FALSE),"")</f>
        <v/>
      </c>
      <c r="S22" s="27" t="str">
        <f>_xlfn.IFNA(VLOOKUP($C22&amp;","&amp;S3,$C$34:$D$112,2,FALSE),"")</f>
        <v/>
      </c>
      <c r="T22" s="27" t="str">
        <f>_xlfn.IFNA(VLOOKUP($C22&amp;","&amp;T3,$C$34:$D$112,2,FALSE),"")</f>
        <v/>
      </c>
      <c r="U22" s="27" t="str">
        <f>_xlfn.IFNA(VLOOKUP($C22&amp;","&amp;U3,$C$34:$D$112,2,FALSE),"")</f>
        <v/>
      </c>
      <c r="V22" s="27" t="str">
        <f>_xlfn.IFNA(VLOOKUP($C22&amp;","&amp;V3,$C$34:$D$112,2,FALSE),"")</f>
        <v/>
      </c>
      <c r="W22" s="27" t="str">
        <f>_xlfn.IFNA(VLOOKUP($C22&amp;","&amp;W3,$C$34:$D$112,2,FALSE),"")</f>
        <v/>
      </c>
      <c r="X22" s="27" t="str">
        <f>_xlfn.IFNA(VLOOKUP($C22&amp;","&amp;X3,$C$34:$D$112,2,FALSE),"")</f>
        <v/>
      </c>
      <c r="Y22" s="27" t="str">
        <f>_xlfn.IFNA(VLOOKUP($C22&amp;","&amp;Y3,$C$34:$D$112,2,FALSE),"")</f>
        <v/>
      </c>
      <c r="Z22" s="27" t="str">
        <f>_xlfn.IFNA(VLOOKUP($C22&amp;","&amp;Z3,$C$34:$D$112,2,FALSE),"")</f>
        <v/>
      </c>
      <c r="AA22" s="27" t="str">
        <f>_xlfn.IFNA(VLOOKUP($C22&amp;","&amp;AA3,$C$34:$D$112,2,FALSE),"")</f>
        <v/>
      </c>
      <c r="AB22" s="27" t="str">
        <f>_xlfn.IFNA(VLOOKUP($C22&amp;","&amp;AB3,$C$34:$D$112,2,FALSE),"")</f>
        <v/>
      </c>
    </row>
    <row r="23" ht="20" customHeight="1" spans="1:28">
      <c r="A23" s="16">
        <v>3</v>
      </c>
      <c r="B23" s="15">
        <f t="shared" si="1"/>
        <v>19</v>
      </c>
      <c r="C23" s="19" t="s">
        <v>938</v>
      </c>
      <c r="D23" s="18" t="str">
        <f t="shared" si="2"/>
        <v>13</v>
      </c>
      <c r="E23" s="27" t="str">
        <f>_xlfn.IFNA(VLOOKUP($C23&amp;","&amp;E3,$C$34:$D$112,2,FALSE),"")</f>
        <v/>
      </c>
      <c r="F23" s="27" t="str">
        <f>_xlfn.IFNA(VLOOKUP($C23&amp;","&amp;F3,$C$34:$D$112,2,FALSE),"")</f>
        <v/>
      </c>
      <c r="G23" s="27" t="str">
        <f>_xlfn.IFNA(VLOOKUP($C23&amp;","&amp;G3,$C$34:$D$112,2,FALSE),"")</f>
        <v/>
      </c>
      <c r="H23" s="27" t="str">
        <f>_xlfn.IFNA(VLOOKUP($C23&amp;","&amp;H3,$C$34:$D$112,2,FALSE),"")</f>
        <v/>
      </c>
      <c r="I23" s="27" t="str">
        <f>_xlfn.IFNA(VLOOKUP($C23&amp;","&amp;I3,$C$34:$D$112,2,FALSE),"")</f>
        <v/>
      </c>
      <c r="J23" s="27" t="str">
        <f>_xlfn.IFNA(VLOOKUP($C23&amp;","&amp;J3,$C$34:$D$112,2,FALSE),"")</f>
        <v/>
      </c>
      <c r="K23" s="27" t="str">
        <f>_xlfn.IFNA(VLOOKUP($C23&amp;","&amp;K3,$C$34:$D$112,2,FALSE),"")</f>
        <v/>
      </c>
      <c r="L23" s="27" t="str">
        <f>_xlfn.IFNA(VLOOKUP($C23&amp;","&amp;L3,$C$34:$D$112,2,FALSE),"")</f>
        <v/>
      </c>
      <c r="M23" s="27" t="str">
        <f>_xlfn.IFNA(VLOOKUP($C23&amp;","&amp;M3,$C$34:$D$112,2,FALSE),"")</f>
        <v/>
      </c>
      <c r="N23" s="27" t="str">
        <f>_xlfn.IFNA(VLOOKUP($C23&amp;","&amp;N3,$C$34:$D$112,2,FALSE),"")</f>
        <v>61</v>
      </c>
      <c r="O23" s="27" t="str">
        <f>_xlfn.IFNA(VLOOKUP($C23&amp;","&amp;O3,$C$34:$D$112,2,FALSE),"")</f>
        <v/>
      </c>
      <c r="P23" s="27" t="str">
        <f>_xlfn.IFNA(VLOOKUP($C23&amp;","&amp;P3,$C$34:$D$112,2,FALSE),"")</f>
        <v/>
      </c>
      <c r="Q23" s="27" t="str">
        <f>_xlfn.IFNA(VLOOKUP($C23&amp;","&amp;Q3,$C$34:$D$112,2,FALSE),"")</f>
        <v/>
      </c>
      <c r="R23" s="27" t="str">
        <f>_xlfn.IFNA(VLOOKUP($C23&amp;","&amp;R3,$C$34:$D$112,2,FALSE),"")</f>
        <v/>
      </c>
      <c r="S23" s="27" t="str">
        <f>_xlfn.IFNA(VLOOKUP($C23&amp;","&amp;S3,$C$34:$D$112,2,FALSE),"")</f>
        <v/>
      </c>
      <c r="T23" s="27" t="str">
        <f>_xlfn.IFNA(VLOOKUP($C23&amp;","&amp;T3,$C$34:$D$112,2,FALSE),"")</f>
        <v/>
      </c>
      <c r="U23" s="27" t="str">
        <f>_xlfn.IFNA(VLOOKUP($C23&amp;","&amp;U3,$C$34:$D$112,2,FALSE),"")</f>
        <v/>
      </c>
      <c r="V23" s="27" t="str">
        <f>_xlfn.IFNA(VLOOKUP($C23&amp;","&amp;V3,$C$34:$D$112,2,FALSE),"")</f>
        <v/>
      </c>
      <c r="W23" s="27" t="str">
        <f>_xlfn.IFNA(VLOOKUP($C23&amp;","&amp;W3,$C$34:$D$112,2,FALSE),"")</f>
        <v/>
      </c>
      <c r="X23" s="27" t="str">
        <f>_xlfn.IFNA(VLOOKUP($C23&amp;","&amp;X3,$C$34:$D$112,2,FALSE),"")</f>
        <v/>
      </c>
      <c r="Y23" s="27" t="str">
        <f>_xlfn.IFNA(VLOOKUP($C23&amp;","&amp;Y3,$C$34:$D$112,2,FALSE),"")</f>
        <v/>
      </c>
      <c r="Z23" s="27" t="str">
        <f>_xlfn.IFNA(VLOOKUP($C23&amp;","&amp;Z3,$C$34:$D$112,2,FALSE),"")</f>
        <v/>
      </c>
      <c r="AA23" s="27" t="str">
        <f>_xlfn.IFNA(VLOOKUP($C23&amp;","&amp;AA3,$C$34:$D$112,2,FALSE),"")</f>
        <v/>
      </c>
      <c r="AB23" s="27" t="str">
        <f>_xlfn.IFNA(VLOOKUP($C23&amp;","&amp;AB3,$C$34:$D$112,2,FALSE),"")</f>
        <v/>
      </c>
    </row>
    <row r="24" ht="20" customHeight="1" spans="1:28">
      <c r="A24" s="16">
        <v>3</v>
      </c>
      <c r="B24" s="15">
        <f t="shared" si="1"/>
        <v>20</v>
      </c>
      <c r="C24" s="19" t="s">
        <v>939</v>
      </c>
      <c r="D24" s="18" t="str">
        <f t="shared" si="2"/>
        <v>14</v>
      </c>
      <c r="E24" s="27" t="str">
        <f>_xlfn.IFNA(VLOOKUP($C24&amp;","&amp;E3,$C$34:$D$112,2,FALSE),"")</f>
        <v/>
      </c>
      <c r="F24" s="27" t="str">
        <f>_xlfn.IFNA(VLOOKUP($C24&amp;","&amp;F3,$C$34:$D$112,2,FALSE),"")</f>
        <v/>
      </c>
      <c r="G24" s="27" t="str">
        <f>_xlfn.IFNA(VLOOKUP($C24&amp;","&amp;G3,$C$34:$D$112,2,FALSE),"")</f>
        <v/>
      </c>
      <c r="H24" s="27" t="str">
        <f>_xlfn.IFNA(VLOOKUP($C24&amp;","&amp;H3,$C$34:$D$112,2,FALSE),"")</f>
        <v/>
      </c>
      <c r="I24" s="27" t="str">
        <f>_xlfn.IFNA(VLOOKUP($C24&amp;","&amp;I3,$C$34:$D$112,2,FALSE),"")</f>
        <v/>
      </c>
      <c r="J24" s="27" t="str">
        <f>_xlfn.IFNA(VLOOKUP($C24&amp;","&amp;J3,$C$34:$D$112,2,FALSE),"")</f>
        <v/>
      </c>
      <c r="K24" s="27" t="str">
        <f>_xlfn.IFNA(VLOOKUP($C24&amp;","&amp;K3,$C$34:$D$112,2,FALSE),"")</f>
        <v/>
      </c>
      <c r="L24" s="27" t="str">
        <f>_xlfn.IFNA(VLOOKUP($C24&amp;","&amp;L3,$C$34:$D$112,2,FALSE),"")</f>
        <v/>
      </c>
      <c r="M24" s="27" t="str">
        <f>_xlfn.IFNA(VLOOKUP($C24&amp;","&amp;M3,$C$34:$D$112,2,FALSE),"")</f>
        <v/>
      </c>
      <c r="N24" s="27" t="str">
        <f>_xlfn.IFNA(VLOOKUP($C24&amp;","&amp;N3,$C$34:$D$112,2,FALSE),"")</f>
        <v>62</v>
      </c>
      <c r="O24" s="27" t="str">
        <f>_xlfn.IFNA(VLOOKUP($C24&amp;","&amp;O3,$C$34:$D$112,2,FALSE),"")</f>
        <v/>
      </c>
      <c r="P24" s="27" t="str">
        <f>_xlfn.IFNA(VLOOKUP($C24&amp;","&amp;P3,$C$34:$D$112,2,FALSE),"")</f>
        <v/>
      </c>
      <c r="Q24" s="27" t="str">
        <f>_xlfn.IFNA(VLOOKUP($C24&amp;","&amp;Q3,$C$34:$D$112,2,FALSE),"")</f>
        <v/>
      </c>
      <c r="R24" s="27" t="str">
        <f>_xlfn.IFNA(VLOOKUP($C24&amp;","&amp;R3,$C$34:$D$112,2,FALSE),"")</f>
        <v/>
      </c>
      <c r="S24" s="27" t="str">
        <f>_xlfn.IFNA(VLOOKUP($C24&amp;","&amp;S3,$C$34:$D$112,2,FALSE),"")</f>
        <v/>
      </c>
      <c r="T24" s="27" t="str">
        <f>_xlfn.IFNA(VLOOKUP($C24&amp;","&amp;T3,$C$34:$D$112,2,FALSE),"")</f>
        <v/>
      </c>
      <c r="U24" s="27" t="str">
        <f>_xlfn.IFNA(VLOOKUP($C24&amp;","&amp;U3,$C$34:$D$112,2,FALSE),"")</f>
        <v/>
      </c>
      <c r="V24" s="27" t="str">
        <f>_xlfn.IFNA(VLOOKUP($C24&amp;","&amp;V3,$C$34:$D$112,2,FALSE),"")</f>
        <v/>
      </c>
      <c r="W24" s="27" t="str">
        <f>_xlfn.IFNA(VLOOKUP($C24&amp;","&amp;W3,$C$34:$D$112,2,FALSE),"")</f>
        <v/>
      </c>
      <c r="X24" s="27" t="str">
        <f>_xlfn.IFNA(VLOOKUP($C24&amp;","&amp;X3,$C$34:$D$112,2,FALSE),"")</f>
        <v/>
      </c>
      <c r="Y24" s="27" t="str">
        <f>_xlfn.IFNA(VLOOKUP($C24&amp;","&amp;Y3,$C$34:$D$112,2,FALSE),"")</f>
        <v/>
      </c>
      <c r="Z24" s="27" t="str">
        <f>_xlfn.IFNA(VLOOKUP($C24&amp;","&amp;Z3,$C$34:$D$112,2,FALSE),"")</f>
        <v/>
      </c>
      <c r="AA24" s="27" t="str">
        <f>_xlfn.IFNA(VLOOKUP($C24&amp;","&amp;AA3,$C$34:$D$112,2,FALSE),"")</f>
        <v/>
      </c>
      <c r="AB24" s="27" t="str">
        <f>_xlfn.IFNA(VLOOKUP($C24&amp;","&amp;AB3,$C$34:$D$112,2,FALSE),"")</f>
        <v/>
      </c>
    </row>
    <row r="25" ht="20" customHeight="1" spans="1:28">
      <c r="A25" s="16">
        <v>3</v>
      </c>
      <c r="B25" s="15">
        <f t="shared" si="1"/>
        <v>21</v>
      </c>
      <c r="C25" s="19" t="s">
        <v>940</v>
      </c>
      <c r="D25" s="18" t="str">
        <f t="shared" si="2"/>
        <v>15</v>
      </c>
      <c r="E25" s="27" t="str">
        <f>_xlfn.IFNA(VLOOKUP($C25&amp;","&amp;E3,$C$34:$D$112,2,FALSE),"")</f>
        <v/>
      </c>
      <c r="F25" s="27" t="str">
        <f>_xlfn.IFNA(VLOOKUP($C25&amp;","&amp;F3,$C$34:$D$112,2,FALSE),"")</f>
        <v/>
      </c>
      <c r="G25" s="27" t="str">
        <f>_xlfn.IFNA(VLOOKUP($C25&amp;","&amp;G3,$C$34:$D$112,2,FALSE),"")</f>
        <v/>
      </c>
      <c r="H25" s="27" t="str">
        <f>_xlfn.IFNA(VLOOKUP($C25&amp;","&amp;H3,$C$34:$D$112,2,FALSE),"")</f>
        <v/>
      </c>
      <c r="I25" s="27" t="str">
        <f>_xlfn.IFNA(VLOOKUP($C25&amp;","&amp;I3,$C$34:$D$112,2,FALSE),"")</f>
        <v/>
      </c>
      <c r="J25" s="27" t="str">
        <f>_xlfn.IFNA(VLOOKUP($C25&amp;","&amp;J3,$C$34:$D$112,2,FALSE),"")</f>
        <v/>
      </c>
      <c r="K25" s="27" t="str">
        <f>_xlfn.IFNA(VLOOKUP($C25&amp;","&amp;K3,$C$34:$D$112,2,FALSE),"")</f>
        <v/>
      </c>
      <c r="L25" s="27" t="str">
        <f>_xlfn.IFNA(VLOOKUP($C25&amp;","&amp;L3,$C$34:$D$112,2,FALSE),"")</f>
        <v/>
      </c>
      <c r="M25" s="27" t="str">
        <f>_xlfn.IFNA(VLOOKUP($C25&amp;","&amp;M3,$C$34:$D$112,2,FALSE),"")</f>
        <v/>
      </c>
      <c r="N25" s="27" t="str">
        <f>_xlfn.IFNA(VLOOKUP($C25&amp;","&amp;N3,$C$34:$D$112,2,FALSE),"")</f>
        <v>63</v>
      </c>
      <c r="O25" s="27" t="str">
        <f>_xlfn.IFNA(VLOOKUP($C25&amp;","&amp;O3,$C$34:$D$112,2,FALSE),"")</f>
        <v>64</v>
      </c>
      <c r="P25" s="27" t="str">
        <f>_xlfn.IFNA(VLOOKUP($C25&amp;","&amp;P3,$C$34:$D$112,2,FALSE),"")</f>
        <v/>
      </c>
      <c r="Q25" s="27" t="str">
        <f>_xlfn.IFNA(VLOOKUP($C25&amp;","&amp;Q3,$C$34:$D$112,2,FALSE),"")</f>
        <v/>
      </c>
      <c r="R25" s="27" t="str">
        <f>_xlfn.IFNA(VLOOKUP($C25&amp;","&amp;R3,$C$34:$D$112,2,FALSE),"")</f>
        <v/>
      </c>
      <c r="S25" s="27" t="str">
        <f>_xlfn.IFNA(VLOOKUP($C25&amp;","&amp;S3,$C$34:$D$112,2,FALSE),"")</f>
        <v/>
      </c>
      <c r="T25" s="27" t="str">
        <f>_xlfn.IFNA(VLOOKUP($C25&amp;","&amp;T3,$C$34:$D$112,2,FALSE),"")</f>
        <v/>
      </c>
      <c r="U25" s="27" t="str">
        <f>_xlfn.IFNA(VLOOKUP($C25&amp;","&amp;U3,$C$34:$D$112,2,FALSE),"")</f>
        <v/>
      </c>
      <c r="V25" s="27" t="str">
        <f>_xlfn.IFNA(VLOOKUP($C25&amp;","&amp;V3,$C$34:$D$112,2,FALSE),"")</f>
        <v/>
      </c>
      <c r="W25" s="27" t="str">
        <f>_xlfn.IFNA(VLOOKUP($C25&amp;","&amp;W3,$C$34:$D$112,2,FALSE),"")</f>
        <v/>
      </c>
      <c r="X25" s="27" t="str">
        <f>_xlfn.IFNA(VLOOKUP($C25&amp;","&amp;X3,$C$34:$D$112,2,FALSE),"")</f>
        <v/>
      </c>
      <c r="Y25" s="27" t="str">
        <f>_xlfn.IFNA(VLOOKUP($C25&amp;","&amp;Y3,$C$34:$D$112,2,FALSE),"")</f>
        <v/>
      </c>
      <c r="Z25" s="27" t="str">
        <f>_xlfn.IFNA(VLOOKUP($C25&amp;","&amp;Z3,$C$34:$D$112,2,FALSE),"")</f>
        <v/>
      </c>
      <c r="AA25" s="27" t="str">
        <f>_xlfn.IFNA(VLOOKUP($C25&amp;","&amp;AA3,$C$34:$D$112,2,FALSE),"")</f>
        <v/>
      </c>
      <c r="AB25" s="27" t="str">
        <f>_xlfn.IFNA(VLOOKUP($C25&amp;","&amp;AB3,$C$34:$D$112,2,FALSE),"")</f>
        <v/>
      </c>
    </row>
    <row r="26" ht="20" customHeight="1" spans="1:28">
      <c r="A26" s="16">
        <v>3</v>
      </c>
      <c r="B26" s="15">
        <f t="shared" si="1"/>
        <v>22</v>
      </c>
      <c r="C26" s="19" t="s">
        <v>941</v>
      </c>
      <c r="D26" s="18" t="str">
        <f t="shared" si="2"/>
        <v>16</v>
      </c>
      <c r="E26" s="27" t="str">
        <f>_xlfn.IFNA(VLOOKUP($C26&amp;","&amp;E3,$C$34:$D$112,2,FALSE),"")</f>
        <v/>
      </c>
      <c r="F26" s="27" t="str">
        <f>_xlfn.IFNA(VLOOKUP($C26&amp;","&amp;F3,$C$34:$D$112,2,FALSE),"")</f>
        <v/>
      </c>
      <c r="G26" s="27" t="str">
        <f>_xlfn.IFNA(VLOOKUP($C26&amp;","&amp;G3,$C$34:$D$112,2,FALSE),"")</f>
        <v/>
      </c>
      <c r="H26" s="27" t="str">
        <f>_xlfn.IFNA(VLOOKUP($C26&amp;","&amp;H3,$C$34:$D$112,2,FALSE),"")</f>
        <v/>
      </c>
      <c r="I26" s="27" t="str">
        <f>_xlfn.IFNA(VLOOKUP($C26&amp;","&amp;I3,$C$34:$D$112,2,FALSE),"")</f>
        <v/>
      </c>
      <c r="J26" s="27" t="str">
        <f>_xlfn.IFNA(VLOOKUP($C26&amp;","&amp;J3,$C$34:$D$112,2,FALSE),"")</f>
        <v/>
      </c>
      <c r="K26" s="27" t="str">
        <f>_xlfn.IFNA(VLOOKUP($C26&amp;","&amp;K3,$C$34:$D$112,2,FALSE),"")</f>
        <v/>
      </c>
      <c r="L26" s="27" t="str">
        <f>_xlfn.IFNA(VLOOKUP($C26&amp;","&amp;L3,$C$34:$D$112,2,FALSE),"")</f>
        <v/>
      </c>
      <c r="M26" s="27" t="str">
        <f>_xlfn.IFNA(VLOOKUP($C26&amp;","&amp;M3,$C$34:$D$112,2,FALSE),"")</f>
        <v/>
      </c>
      <c r="N26" s="27" t="str">
        <f>_xlfn.IFNA(VLOOKUP($C26&amp;","&amp;N3,$C$34:$D$112,2,FALSE),"")</f>
        <v>65</v>
      </c>
      <c r="O26" s="27" t="str">
        <f>_xlfn.IFNA(VLOOKUP($C26&amp;","&amp;O3,$C$34:$D$112,2,FALSE),"")</f>
        <v/>
      </c>
      <c r="P26" s="27" t="str">
        <f>_xlfn.IFNA(VLOOKUP($C26&amp;","&amp;P3,$C$34:$D$112,2,FALSE),"")</f>
        <v/>
      </c>
      <c r="Q26" s="27" t="str">
        <f>_xlfn.IFNA(VLOOKUP($C26&amp;","&amp;Q3,$C$34:$D$112,2,FALSE),"")</f>
        <v/>
      </c>
      <c r="R26" s="27" t="str">
        <f>_xlfn.IFNA(VLOOKUP($C26&amp;","&amp;R3,$C$34:$D$112,2,FALSE),"")</f>
        <v/>
      </c>
      <c r="S26" s="27" t="str">
        <f>_xlfn.IFNA(VLOOKUP($C26&amp;","&amp;S3,$C$34:$D$112,2,FALSE),"")</f>
        <v/>
      </c>
      <c r="T26" s="27" t="str">
        <f>_xlfn.IFNA(VLOOKUP($C26&amp;","&amp;T3,$C$34:$D$112,2,FALSE),"")</f>
        <v/>
      </c>
      <c r="U26" s="27" t="str">
        <f>_xlfn.IFNA(VLOOKUP($C26&amp;","&amp;U3,$C$34:$D$112,2,FALSE),"")</f>
        <v/>
      </c>
      <c r="V26" s="27" t="str">
        <f>_xlfn.IFNA(VLOOKUP($C26&amp;","&amp;V3,$C$34:$D$112,2,FALSE),"")</f>
        <v/>
      </c>
      <c r="W26" s="27" t="str">
        <f>_xlfn.IFNA(VLOOKUP($C26&amp;","&amp;W3,$C$34:$D$112,2,FALSE),"")</f>
        <v/>
      </c>
      <c r="X26" s="27" t="str">
        <f>_xlfn.IFNA(VLOOKUP($C26&amp;","&amp;X3,$C$34:$D$112,2,FALSE),"")</f>
        <v/>
      </c>
      <c r="Y26" s="27" t="str">
        <f>_xlfn.IFNA(VLOOKUP($C26&amp;","&amp;Y3,$C$34:$D$112,2,FALSE),"")</f>
        <v/>
      </c>
      <c r="Z26" s="27" t="str">
        <f>_xlfn.IFNA(VLOOKUP($C26&amp;","&amp;Z3,$C$34:$D$112,2,FALSE),"")</f>
        <v/>
      </c>
      <c r="AA26" s="27" t="str">
        <f>_xlfn.IFNA(VLOOKUP($C26&amp;","&amp;AA3,$C$34:$D$112,2,FALSE),"")</f>
        <v/>
      </c>
      <c r="AB26" s="27" t="str">
        <f>_xlfn.IFNA(VLOOKUP($C26&amp;","&amp;AB3,$C$34:$D$112,2,FALSE),"")</f>
        <v/>
      </c>
    </row>
    <row r="27" ht="20" customHeight="1" spans="1:28">
      <c r="A27" s="16">
        <v>3</v>
      </c>
      <c r="B27" s="15">
        <f t="shared" si="1"/>
        <v>23</v>
      </c>
      <c r="C27" s="19" t="s">
        <v>942</v>
      </c>
      <c r="D27" s="18" t="str">
        <f t="shared" si="2"/>
        <v>17</v>
      </c>
      <c r="E27" s="27" t="str">
        <f>_xlfn.IFNA(VLOOKUP($C27&amp;","&amp;E3,$C$34:$D$112,2,FALSE),"")</f>
        <v/>
      </c>
      <c r="F27" s="27" t="str">
        <f>_xlfn.IFNA(VLOOKUP($C27&amp;","&amp;F3,$C$34:$D$112,2,FALSE),"")</f>
        <v/>
      </c>
      <c r="G27" s="27" t="str">
        <f>_xlfn.IFNA(VLOOKUP($C27&amp;","&amp;G3,$C$34:$D$112,2,FALSE),"")</f>
        <v/>
      </c>
      <c r="H27" s="27" t="str">
        <f>_xlfn.IFNA(VLOOKUP($C27&amp;","&amp;H3,$C$34:$D$112,2,FALSE),"")</f>
        <v/>
      </c>
      <c r="I27" s="27" t="str">
        <f>_xlfn.IFNA(VLOOKUP($C27&amp;","&amp;I3,$C$34:$D$112,2,FALSE),"")</f>
        <v/>
      </c>
      <c r="J27" s="27" t="str">
        <f>_xlfn.IFNA(VLOOKUP($C27&amp;","&amp;J3,$C$34:$D$112,2,FALSE),"")</f>
        <v/>
      </c>
      <c r="K27" s="27" t="str">
        <f>_xlfn.IFNA(VLOOKUP($C27&amp;","&amp;K3,$C$34:$D$112,2,FALSE),"")</f>
        <v/>
      </c>
      <c r="L27" s="27" t="str">
        <f>_xlfn.IFNA(VLOOKUP($C27&amp;","&amp;L3,$C$34:$D$112,2,FALSE),"")</f>
        <v/>
      </c>
      <c r="M27" s="27" t="str">
        <f>_xlfn.IFNA(VLOOKUP($C27&amp;","&amp;M3,$C$34:$D$112,2,FALSE),"")</f>
        <v/>
      </c>
      <c r="N27" s="27" t="str">
        <f>_xlfn.IFNA(VLOOKUP($C27&amp;","&amp;N3,$C$34:$D$112,2,FALSE),"")</f>
        <v>66</v>
      </c>
      <c r="O27" s="27" t="str">
        <f>_xlfn.IFNA(VLOOKUP($C27&amp;","&amp;O3,$C$34:$D$112,2,FALSE),"")</f>
        <v/>
      </c>
      <c r="P27" s="27" t="str">
        <f>_xlfn.IFNA(VLOOKUP($C27&amp;","&amp;P3,$C$34:$D$112,2,FALSE),"")</f>
        <v/>
      </c>
      <c r="Q27" s="27" t="str">
        <f>_xlfn.IFNA(VLOOKUP($C27&amp;","&amp;Q3,$C$34:$D$112,2,FALSE),"")</f>
        <v/>
      </c>
      <c r="R27" s="27" t="str">
        <f>_xlfn.IFNA(VLOOKUP($C27&amp;","&amp;R3,$C$34:$D$112,2,FALSE),"")</f>
        <v/>
      </c>
      <c r="S27" s="27" t="str">
        <f>_xlfn.IFNA(VLOOKUP($C27&amp;","&amp;S3,$C$34:$D$112,2,FALSE),"")</f>
        <v/>
      </c>
      <c r="T27" s="27" t="str">
        <f>_xlfn.IFNA(VLOOKUP($C27&amp;","&amp;T3,$C$34:$D$112,2,FALSE),"")</f>
        <v/>
      </c>
      <c r="U27" s="27" t="str">
        <f>_xlfn.IFNA(VLOOKUP($C27&amp;","&amp;U3,$C$34:$D$112,2,FALSE),"")</f>
        <v/>
      </c>
      <c r="V27" s="27" t="str">
        <f>_xlfn.IFNA(VLOOKUP($C27&amp;","&amp;V3,$C$34:$D$112,2,FALSE),"")</f>
        <v/>
      </c>
      <c r="W27" s="27" t="str">
        <f>_xlfn.IFNA(VLOOKUP($C27&amp;","&amp;W3,$C$34:$D$112,2,FALSE),"")</f>
        <v/>
      </c>
      <c r="X27" s="27" t="str">
        <f>_xlfn.IFNA(VLOOKUP($C27&amp;","&amp;X3,$C$34:$D$112,2,FALSE),"")</f>
        <v/>
      </c>
      <c r="Y27" s="27" t="str">
        <f>_xlfn.IFNA(VLOOKUP($C27&amp;","&amp;Y3,$C$34:$D$112,2,FALSE),"")</f>
        <v/>
      </c>
      <c r="Z27" s="27" t="str">
        <f>_xlfn.IFNA(VLOOKUP($C27&amp;","&amp;Z3,$C$34:$D$112,2,FALSE),"")</f>
        <v/>
      </c>
      <c r="AA27" s="27" t="str">
        <f>_xlfn.IFNA(VLOOKUP($C27&amp;","&amp;AA3,$C$34:$D$112,2,FALSE),"")</f>
        <v/>
      </c>
      <c r="AB27" s="27" t="str">
        <f>_xlfn.IFNA(VLOOKUP($C27&amp;","&amp;AB3,$C$34:$D$112,2,FALSE),"")</f>
        <v/>
      </c>
    </row>
    <row r="28" ht="20" customHeight="1" spans="1:28">
      <c r="A28" s="16">
        <v>3</v>
      </c>
      <c r="B28" s="15">
        <f t="shared" si="1"/>
        <v>24</v>
      </c>
      <c r="C28" s="19" t="s">
        <v>943</v>
      </c>
      <c r="D28" s="18" t="str">
        <f t="shared" si="2"/>
        <v>18</v>
      </c>
      <c r="E28" s="27" t="str">
        <f>_xlfn.IFNA(VLOOKUP($C28&amp;","&amp;E3,$C$34:$D$112,2,FALSE),"")</f>
        <v/>
      </c>
      <c r="F28" s="27" t="str">
        <f>_xlfn.IFNA(VLOOKUP($C28&amp;","&amp;F3,$C$34:$D$112,2,FALSE),"")</f>
        <v/>
      </c>
      <c r="G28" s="27" t="str">
        <f>_xlfn.IFNA(VLOOKUP($C28&amp;","&amp;G3,$C$34:$D$112,2,FALSE),"")</f>
        <v/>
      </c>
      <c r="H28" s="27" t="str">
        <f>_xlfn.IFNA(VLOOKUP($C28&amp;","&amp;H3,$C$34:$D$112,2,FALSE),"")</f>
        <v/>
      </c>
      <c r="I28" s="27" t="str">
        <f>_xlfn.IFNA(VLOOKUP($C28&amp;","&amp;I3,$C$34:$D$112,2,FALSE),"")</f>
        <v/>
      </c>
      <c r="J28" s="27" t="str">
        <f>_xlfn.IFNA(VLOOKUP($C28&amp;","&amp;J3,$C$34:$D$112,2,FALSE),"")</f>
        <v/>
      </c>
      <c r="K28" s="27" t="str">
        <f>_xlfn.IFNA(VLOOKUP($C28&amp;","&amp;K3,$C$34:$D$112,2,FALSE),"")</f>
        <v/>
      </c>
      <c r="L28" s="27" t="str">
        <f>_xlfn.IFNA(VLOOKUP($C28&amp;","&amp;L3,$C$34:$D$112,2,FALSE),"")</f>
        <v/>
      </c>
      <c r="M28" s="27" t="str">
        <f>_xlfn.IFNA(VLOOKUP($C28&amp;","&amp;M3,$C$34:$D$112,2,FALSE),"")</f>
        <v/>
      </c>
      <c r="N28" s="27" t="str">
        <f>_xlfn.IFNA(VLOOKUP($C28&amp;","&amp;N3,$C$34:$D$112,2,FALSE),"")</f>
        <v>67</v>
      </c>
      <c r="O28" s="27" t="str">
        <f>_xlfn.IFNA(VLOOKUP($C28&amp;","&amp;O3,$C$34:$D$112,2,FALSE),"")</f>
        <v/>
      </c>
      <c r="P28" s="27" t="str">
        <f>_xlfn.IFNA(VLOOKUP($C28&amp;","&amp;P3,$C$34:$D$112,2,FALSE),"")</f>
        <v/>
      </c>
      <c r="Q28" s="27" t="str">
        <f>_xlfn.IFNA(VLOOKUP($C28&amp;","&amp;Q3,$C$34:$D$112,2,FALSE),"")</f>
        <v/>
      </c>
      <c r="R28" s="27" t="str">
        <f>_xlfn.IFNA(VLOOKUP($C28&amp;","&amp;R3,$C$34:$D$112,2,FALSE),"")</f>
        <v/>
      </c>
      <c r="S28" s="27" t="str">
        <f>_xlfn.IFNA(VLOOKUP($C28&amp;","&amp;S3,$C$34:$D$112,2,FALSE),"")</f>
        <v/>
      </c>
      <c r="T28" s="27" t="str">
        <f>_xlfn.IFNA(VLOOKUP($C28&amp;","&amp;T3,$C$34:$D$112,2,FALSE),"")</f>
        <v/>
      </c>
      <c r="U28" s="27" t="str">
        <f>_xlfn.IFNA(VLOOKUP($C28&amp;","&amp;U3,$C$34:$D$112,2,FALSE),"")</f>
        <v/>
      </c>
      <c r="V28" s="27" t="str">
        <f>_xlfn.IFNA(VLOOKUP($C28&amp;","&amp;V3,$C$34:$D$112,2,FALSE),"")</f>
        <v/>
      </c>
      <c r="W28" s="27" t="str">
        <f>_xlfn.IFNA(VLOOKUP($C28&amp;","&amp;W3,$C$34:$D$112,2,FALSE),"")</f>
        <v/>
      </c>
      <c r="X28" s="27" t="str">
        <f>_xlfn.IFNA(VLOOKUP($C28&amp;","&amp;X3,$C$34:$D$112,2,FALSE),"")</f>
        <v/>
      </c>
      <c r="Y28" s="27" t="str">
        <f>_xlfn.IFNA(VLOOKUP($C28&amp;","&amp;Y3,$C$34:$D$112,2,FALSE),"")</f>
        <v/>
      </c>
      <c r="Z28" s="27" t="str">
        <f>_xlfn.IFNA(VLOOKUP($C28&amp;","&amp;Z3,$C$34:$D$112,2,FALSE),"")</f>
        <v/>
      </c>
      <c r="AA28" s="27" t="str">
        <f>_xlfn.IFNA(VLOOKUP($C28&amp;","&amp;AA3,$C$34:$D$112,2,FALSE),"")</f>
        <v/>
      </c>
      <c r="AB28" s="27" t="str">
        <f>_xlfn.IFNA(VLOOKUP($C28&amp;","&amp;AB3,$C$34:$D$112,2,FALSE),"")</f>
        <v/>
      </c>
    </row>
    <row r="29" ht="20" customHeight="1" spans="1:28">
      <c r="A29" s="16">
        <v>3</v>
      </c>
      <c r="B29" s="15">
        <f t="shared" si="1"/>
        <v>25</v>
      </c>
      <c r="C29" s="19" t="s">
        <v>944</v>
      </c>
      <c r="D29" s="18" t="str">
        <f t="shared" si="2"/>
        <v>19</v>
      </c>
      <c r="E29" s="27" t="str">
        <f>_xlfn.IFNA(VLOOKUP($C29&amp;","&amp;E3,$C$34:$D$112,2,FALSE),"")</f>
        <v/>
      </c>
      <c r="F29" s="27" t="str">
        <f>_xlfn.IFNA(VLOOKUP($C29&amp;","&amp;F3,$C$34:$D$112,2,FALSE),"")</f>
        <v/>
      </c>
      <c r="G29" s="27" t="str">
        <f>_xlfn.IFNA(VLOOKUP($C29&amp;","&amp;G3,$C$34:$D$112,2,FALSE),"")</f>
        <v/>
      </c>
      <c r="H29" s="27" t="str">
        <f>_xlfn.IFNA(VLOOKUP($C29&amp;","&amp;H3,$C$34:$D$112,2,FALSE),"")</f>
        <v/>
      </c>
      <c r="I29" s="27" t="str">
        <f>_xlfn.IFNA(VLOOKUP($C29&amp;","&amp;I3,$C$34:$D$112,2,FALSE),"")</f>
        <v/>
      </c>
      <c r="J29" s="27" t="str">
        <f>_xlfn.IFNA(VLOOKUP($C29&amp;","&amp;J3,$C$34:$D$112,2,FALSE),"")</f>
        <v/>
      </c>
      <c r="K29" s="27" t="str">
        <f>_xlfn.IFNA(VLOOKUP($C29&amp;","&amp;K3,$C$34:$D$112,2,FALSE),"")</f>
        <v/>
      </c>
      <c r="L29" s="27" t="str">
        <f>_xlfn.IFNA(VLOOKUP($C29&amp;","&amp;L3,$C$34:$D$112,2,FALSE),"")</f>
        <v/>
      </c>
      <c r="M29" s="27" t="str">
        <f>_xlfn.IFNA(VLOOKUP($C29&amp;","&amp;M3,$C$34:$D$112,2,FALSE),"")</f>
        <v/>
      </c>
      <c r="N29" s="27" t="str">
        <f>_xlfn.IFNA(VLOOKUP($C29&amp;","&amp;N3,$C$34:$D$112,2,FALSE),"")</f>
        <v>68</v>
      </c>
      <c r="O29" s="27" t="str">
        <f>_xlfn.IFNA(VLOOKUP($C29&amp;","&amp;O3,$C$34:$D$112,2,FALSE),"")</f>
        <v/>
      </c>
      <c r="P29" s="27" t="str">
        <f>_xlfn.IFNA(VLOOKUP($C29&amp;","&amp;P3,$C$34:$D$112,2,FALSE),"")</f>
        <v/>
      </c>
      <c r="Q29" s="27" t="str">
        <f>_xlfn.IFNA(VLOOKUP($C29&amp;","&amp;Q3,$C$34:$D$112,2,FALSE),"")</f>
        <v/>
      </c>
      <c r="R29" s="27" t="str">
        <f>_xlfn.IFNA(VLOOKUP($C29&amp;","&amp;R3,$C$34:$D$112,2,FALSE),"")</f>
        <v/>
      </c>
      <c r="S29" s="27" t="str">
        <f>_xlfn.IFNA(VLOOKUP($C29&amp;","&amp;S3,$C$34:$D$112,2,FALSE),"")</f>
        <v/>
      </c>
      <c r="T29" s="27" t="str">
        <f>_xlfn.IFNA(VLOOKUP($C29&amp;","&amp;T3,$C$34:$D$112,2,FALSE),"")</f>
        <v/>
      </c>
      <c r="U29" s="27" t="str">
        <f>_xlfn.IFNA(VLOOKUP($C29&amp;","&amp;U3,$C$34:$D$112,2,FALSE),"")</f>
        <v/>
      </c>
      <c r="V29" s="27" t="str">
        <f>_xlfn.IFNA(VLOOKUP($C29&amp;","&amp;V3,$C$34:$D$112,2,FALSE),"")</f>
        <v/>
      </c>
      <c r="W29" s="27" t="str">
        <f>_xlfn.IFNA(VLOOKUP($C29&amp;","&amp;W3,$C$34:$D$112,2,FALSE),"")</f>
        <v/>
      </c>
      <c r="X29" s="27" t="str">
        <f>_xlfn.IFNA(VLOOKUP($C29&amp;","&amp;X3,$C$34:$D$112,2,FALSE),"")</f>
        <v/>
      </c>
      <c r="Y29" s="27" t="str">
        <f>_xlfn.IFNA(VLOOKUP($C29&amp;","&amp;Y3,$C$34:$D$112,2,FALSE),"")</f>
        <v/>
      </c>
      <c r="Z29" s="27" t="str">
        <f>_xlfn.IFNA(VLOOKUP($C29&amp;","&amp;Z3,$C$34:$D$112,2,FALSE),"")</f>
        <v/>
      </c>
      <c r="AA29" s="27" t="str">
        <f>_xlfn.IFNA(VLOOKUP($C29&amp;","&amp;AA3,$C$34:$D$112,2,FALSE),"")</f>
        <v/>
      </c>
      <c r="AB29" s="27" t="str">
        <f>_xlfn.IFNA(VLOOKUP($C29&amp;","&amp;AB3,$C$34:$D$112,2,FALSE),"")</f>
        <v/>
      </c>
    </row>
    <row r="30" ht="20" customHeight="1" spans="1:28">
      <c r="A30" s="16">
        <v>3</v>
      </c>
      <c r="B30" s="15">
        <f t="shared" si="1"/>
        <v>26</v>
      </c>
      <c r="C30" s="19" t="s">
        <v>945</v>
      </c>
      <c r="D30" s="18" t="str">
        <f t="shared" si="2"/>
        <v>1A</v>
      </c>
      <c r="E30" s="27" t="str">
        <f>_xlfn.IFNA(VLOOKUP($C30&amp;","&amp;E3,$C$34:$D$112,2,FALSE),"")</f>
        <v/>
      </c>
      <c r="F30" s="27" t="str">
        <f>_xlfn.IFNA(VLOOKUP($C30&amp;","&amp;F3,$C$34:$D$112,2,FALSE),"")</f>
        <v/>
      </c>
      <c r="G30" s="27" t="str">
        <f>_xlfn.IFNA(VLOOKUP($C30&amp;","&amp;G3,$C$34:$D$112,2,FALSE),"")</f>
        <v/>
      </c>
      <c r="H30" s="27" t="str">
        <f>_xlfn.IFNA(VLOOKUP($C30&amp;","&amp;H3,$C$34:$D$112,2,FALSE),"")</f>
        <v/>
      </c>
      <c r="I30" s="27" t="str">
        <f>_xlfn.IFNA(VLOOKUP($C30&amp;","&amp;I3,$C$34:$D$112,2,FALSE),"")</f>
        <v/>
      </c>
      <c r="J30" s="27" t="str">
        <f>_xlfn.IFNA(VLOOKUP($C30&amp;","&amp;J3,$C$34:$D$112,2,FALSE),"")</f>
        <v/>
      </c>
      <c r="K30" s="27" t="str">
        <f>_xlfn.IFNA(VLOOKUP($C30&amp;","&amp;K3,$C$34:$D$112,2,FALSE),"")</f>
        <v/>
      </c>
      <c r="L30" s="27" t="str">
        <f>_xlfn.IFNA(VLOOKUP($C30&amp;","&amp;L3,$C$34:$D$112,2,FALSE),"")</f>
        <v/>
      </c>
      <c r="M30" s="27" t="str">
        <f>_xlfn.IFNA(VLOOKUP($C30&amp;","&amp;M3,$C$34:$D$112,2,FALSE),"")</f>
        <v/>
      </c>
      <c r="N30" s="27" t="str">
        <f>_xlfn.IFNA(VLOOKUP($C30&amp;","&amp;N3,$C$34:$D$112,2,FALSE),"")</f>
        <v>69</v>
      </c>
      <c r="O30" s="27" t="str">
        <f>_xlfn.IFNA(VLOOKUP($C30&amp;","&amp;O3,$C$34:$D$112,2,FALSE),"")</f>
        <v/>
      </c>
      <c r="P30" s="27" t="str">
        <f>_xlfn.IFNA(VLOOKUP($C30&amp;","&amp;P3,$C$34:$D$112,2,FALSE),"")</f>
        <v/>
      </c>
      <c r="Q30" s="27" t="str">
        <f>_xlfn.IFNA(VLOOKUP($C30&amp;","&amp;Q3,$C$34:$D$112,2,FALSE),"")</f>
        <v/>
      </c>
      <c r="R30" s="27" t="str">
        <f>_xlfn.IFNA(VLOOKUP($C30&amp;","&amp;R3,$C$34:$D$112,2,FALSE),"")</f>
        <v/>
      </c>
      <c r="S30" s="27" t="str">
        <f>_xlfn.IFNA(VLOOKUP($C30&amp;","&amp;S3,$C$34:$D$112,2,FALSE),"")</f>
        <v/>
      </c>
      <c r="T30" s="27" t="str">
        <f>_xlfn.IFNA(VLOOKUP($C30&amp;","&amp;T3,$C$34:$D$112,2,FALSE),"")</f>
        <v/>
      </c>
      <c r="U30" s="27" t="str">
        <f>_xlfn.IFNA(VLOOKUP($C30&amp;","&amp;U3,$C$34:$D$112,2,FALSE),"")</f>
        <v/>
      </c>
      <c r="V30" s="27" t="str">
        <f>_xlfn.IFNA(VLOOKUP($C30&amp;","&amp;V3,$C$34:$D$112,2,FALSE),"")</f>
        <v/>
      </c>
      <c r="W30" s="27" t="str">
        <f>_xlfn.IFNA(VLOOKUP($C30&amp;","&amp;W3,$C$34:$D$112,2,FALSE),"")</f>
        <v/>
      </c>
      <c r="X30" s="27" t="str">
        <f>_xlfn.IFNA(VLOOKUP($C30&amp;","&amp;X3,$C$34:$D$112,2,FALSE),"")</f>
        <v/>
      </c>
      <c r="Y30" s="27" t="str">
        <f>_xlfn.IFNA(VLOOKUP($C30&amp;","&amp;Y3,$C$34:$D$112,2,FALSE),"")</f>
        <v/>
      </c>
      <c r="Z30" s="27" t="str">
        <f>_xlfn.IFNA(VLOOKUP($C30&amp;","&amp;Z3,$C$34:$D$112,2,FALSE),"")</f>
        <v/>
      </c>
      <c r="AA30" s="27" t="str">
        <f>_xlfn.IFNA(VLOOKUP($C30&amp;","&amp;AA3,$C$34:$D$112,2,FALSE),"")</f>
        <v/>
      </c>
      <c r="AB30" s="27" t="str">
        <f>_xlfn.IFNA(VLOOKUP($C30&amp;","&amp;AB3,$C$34:$D$112,2,FALSE),"")</f>
        <v/>
      </c>
    </row>
    <row r="31" ht="20" customHeight="1" spans="1:28">
      <c r="A31" s="16">
        <v>3</v>
      </c>
      <c r="B31" s="15">
        <f t="shared" si="1"/>
        <v>27</v>
      </c>
      <c r="C31" s="19" t="s">
        <v>946</v>
      </c>
      <c r="D31" s="18" t="str">
        <f t="shared" si="2"/>
        <v>1B</v>
      </c>
      <c r="E31" s="27" t="str">
        <f>_xlfn.IFNA(VLOOKUP($C31&amp;","&amp;E3,$C$34:$D$112,2,FALSE),"")</f>
        <v/>
      </c>
      <c r="F31" s="27" t="str">
        <f>_xlfn.IFNA(VLOOKUP($C31&amp;","&amp;F3,$C$34:$D$112,2,FALSE),"")</f>
        <v/>
      </c>
      <c r="G31" s="27" t="str">
        <f>_xlfn.IFNA(VLOOKUP($C31&amp;","&amp;G3,$C$34:$D$112,2,FALSE),"")</f>
        <v/>
      </c>
      <c r="H31" s="27" t="str">
        <f>_xlfn.IFNA(VLOOKUP($C31&amp;","&amp;H3,$C$34:$D$112,2,FALSE),"")</f>
        <v/>
      </c>
      <c r="I31" s="27" t="str">
        <f>_xlfn.IFNA(VLOOKUP($C31&amp;","&amp;I3,$C$34:$D$112,2,FALSE),"")</f>
        <v/>
      </c>
      <c r="J31" s="27" t="str">
        <f>_xlfn.IFNA(VLOOKUP($C31&amp;","&amp;J3,$C$34:$D$112,2,FALSE),"")</f>
        <v/>
      </c>
      <c r="K31" s="27" t="str">
        <f>_xlfn.IFNA(VLOOKUP($C31&amp;","&amp;K3,$C$34:$D$112,2,FALSE),"")</f>
        <v/>
      </c>
      <c r="L31" s="27" t="str">
        <f>_xlfn.IFNA(VLOOKUP($C31&amp;","&amp;L3,$C$34:$D$112,2,FALSE),"")</f>
        <v/>
      </c>
      <c r="M31" s="27" t="str">
        <f>_xlfn.IFNA(VLOOKUP($C31&amp;","&amp;M3,$C$34:$D$112,2,FALSE),"")</f>
        <v/>
      </c>
      <c r="N31" s="27" t="str">
        <f>_xlfn.IFNA(VLOOKUP($C31&amp;","&amp;N3,$C$34:$D$112,2,FALSE),"")</f>
        <v>6A</v>
      </c>
      <c r="O31" s="27" t="str">
        <f>_xlfn.IFNA(VLOOKUP($C31&amp;","&amp;O3,$C$34:$D$112,2,FALSE),"")</f>
        <v/>
      </c>
      <c r="P31" s="27" t="str">
        <f>_xlfn.IFNA(VLOOKUP($C31&amp;","&amp;P3,$C$34:$D$112,2,FALSE),"")</f>
        <v/>
      </c>
      <c r="Q31" s="27" t="str">
        <f>_xlfn.IFNA(VLOOKUP($C31&amp;","&amp;Q3,$C$34:$D$112,2,FALSE),"")</f>
        <v/>
      </c>
      <c r="R31" s="27" t="str">
        <f>_xlfn.IFNA(VLOOKUP($C31&amp;","&amp;R3,$C$34:$D$112,2,FALSE),"")</f>
        <v/>
      </c>
      <c r="S31" s="27" t="str">
        <f>_xlfn.IFNA(VLOOKUP($C31&amp;","&amp;S3,$C$34:$D$112,2,FALSE),"")</f>
        <v/>
      </c>
      <c r="T31" s="27" t="str">
        <f>_xlfn.IFNA(VLOOKUP($C31&amp;","&amp;T3,$C$34:$D$112,2,FALSE),"")</f>
        <v/>
      </c>
      <c r="U31" s="27" t="str">
        <f>_xlfn.IFNA(VLOOKUP($C31&amp;","&amp;U3,$C$34:$D$112,2,FALSE),"")</f>
        <v/>
      </c>
      <c r="V31" s="27" t="str">
        <f>_xlfn.IFNA(VLOOKUP($C31&amp;","&amp;V3,$C$34:$D$112,2,FALSE),"")</f>
        <v/>
      </c>
      <c r="W31" s="27" t="str">
        <f>_xlfn.IFNA(VLOOKUP($C31&amp;","&amp;W3,$C$34:$D$112,2,FALSE),"")</f>
        <v/>
      </c>
      <c r="X31" s="27" t="str">
        <f>_xlfn.IFNA(VLOOKUP($C31&amp;","&amp;X3,$C$34:$D$112,2,FALSE),"")</f>
        <v/>
      </c>
      <c r="Y31" s="27" t="str">
        <f>_xlfn.IFNA(VLOOKUP($C31&amp;","&amp;Y3,$C$34:$D$112,2,FALSE),"")</f>
        <v/>
      </c>
      <c r="Z31" s="27" t="str">
        <f>_xlfn.IFNA(VLOOKUP($C31&amp;","&amp;Z3,$C$34:$D$112,2,FALSE),"")</f>
        <v/>
      </c>
      <c r="AA31" s="27" t="str">
        <f>_xlfn.IFNA(VLOOKUP($C31&amp;","&amp;AA3,$C$34:$D$112,2,FALSE),"")</f>
        <v/>
      </c>
      <c r="AB31" s="27" t="str">
        <f>_xlfn.IFNA(VLOOKUP($C31&amp;","&amp;AB3,$C$34:$D$112,2,FALSE),"")</f>
        <v/>
      </c>
    </row>
    <row r="32" ht="20" customHeight="1" spans="1:28">
      <c r="A32" s="16">
        <v>3</v>
      </c>
      <c r="B32" s="15">
        <f t="shared" si="1"/>
        <v>28</v>
      </c>
      <c r="C32" s="19" t="s">
        <v>947</v>
      </c>
      <c r="D32" s="18" t="str">
        <f t="shared" si="2"/>
        <v>1C</v>
      </c>
      <c r="E32" s="27" t="str">
        <f>_xlfn.IFNA(VLOOKUP($C32&amp;","&amp;E3,$C$34:$D$112,2,FALSE),"")</f>
        <v/>
      </c>
      <c r="F32" s="27" t="str">
        <f>_xlfn.IFNA(VLOOKUP($C32&amp;","&amp;F3,$C$34:$D$112,2,FALSE),"")</f>
        <v/>
      </c>
      <c r="G32" s="27" t="str">
        <f>_xlfn.IFNA(VLOOKUP($C32&amp;","&amp;G3,$C$34:$D$112,2,FALSE),"")</f>
        <v/>
      </c>
      <c r="H32" s="27" t="str">
        <f>_xlfn.IFNA(VLOOKUP($C32&amp;","&amp;H3,$C$34:$D$112,2,FALSE),"")</f>
        <v/>
      </c>
      <c r="I32" s="27" t="str">
        <f>_xlfn.IFNA(VLOOKUP($C32&amp;","&amp;I3,$C$34:$D$112,2,FALSE),"")</f>
        <v/>
      </c>
      <c r="J32" s="27" t="str">
        <f>_xlfn.IFNA(VLOOKUP($C32&amp;","&amp;J3,$C$34:$D$112,2,FALSE),"")</f>
        <v/>
      </c>
      <c r="K32" s="27" t="str">
        <f>_xlfn.IFNA(VLOOKUP($C32&amp;","&amp;K3,$C$34:$D$112,2,FALSE),"")</f>
        <v/>
      </c>
      <c r="L32" s="27" t="str">
        <f>_xlfn.IFNA(VLOOKUP($C32&amp;","&amp;L3,$C$34:$D$112,2,FALSE),"")</f>
        <v/>
      </c>
      <c r="M32" s="27" t="str">
        <f>_xlfn.IFNA(VLOOKUP($C32&amp;","&amp;M3,$C$34:$D$112,2,FALSE),"")</f>
        <v/>
      </c>
      <c r="N32" s="27" t="str">
        <f>_xlfn.IFNA(VLOOKUP($C32&amp;","&amp;N3,$C$34:$D$112,2,FALSE),"")</f>
        <v>6B</v>
      </c>
      <c r="O32" s="27" t="str">
        <f>_xlfn.IFNA(VLOOKUP($C32&amp;","&amp;O3,$C$34:$D$112,2,FALSE),"")</f>
        <v/>
      </c>
      <c r="P32" s="27" t="str">
        <f>_xlfn.IFNA(VLOOKUP($C32&amp;","&amp;P3,$C$34:$D$112,2,FALSE),"")</f>
        <v/>
      </c>
      <c r="Q32" s="27" t="str">
        <f>_xlfn.IFNA(VLOOKUP($C32&amp;","&amp;Q3,$C$34:$D$112,2,FALSE),"")</f>
        <v/>
      </c>
      <c r="R32" s="27" t="str">
        <f>_xlfn.IFNA(VLOOKUP($C32&amp;","&amp;R3,$C$34:$D$112,2,FALSE),"")</f>
        <v/>
      </c>
      <c r="S32" s="27" t="str">
        <f>_xlfn.IFNA(VLOOKUP($C32&amp;","&amp;S3,$C$34:$D$112,2,FALSE),"")</f>
        <v/>
      </c>
      <c r="T32" s="27" t="str">
        <f>_xlfn.IFNA(VLOOKUP($C32&amp;","&amp;T3,$C$34:$D$112,2,FALSE),"")</f>
        <v/>
      </c>
      <c r="U32" s="27" t="str">
        <f>_xlfn.IFNA(VLOOKUP($C32&amp;","&amp;U3,$C$34:$D$112,2,FALSE),"")</f>
        <v/>
      </c>
      <c r="V32" s="27" t="str">
        <f>_xlfn.IFNA(VLOOKUP($C32&amp;","&amp;V3,$C$34:$D$112,2,FALSE),"")</f>
        <v/>
      </c>
      <c r="W32" s="27" t="str">
        <f>_xlfn.IFNA(VLOOKUP($C32&amp;","&amp;W3,$C$34:$D$112,2,FALSE),"")</f>
        <v/>
      </c>
      <c r="X32" s="27" t="str">
        <f>_xlfn.IFNA(VLOOKUP($C32&amp;","&amp;X3,$C$34:$D$112,2,FALSE),"")</f>
        <v/>
      </c>
      <c r="Y32" s="27" t="str">
        <f>_xlfn.IFNA(VLOOKUP($C32&amp;","&amp;Y3,$C$34:$D$112,2,FALSE),"")</f>
        <v/>
      </c>
      <c r="Z32" s="27" t="str">
        <f>_xlfn.IFNA(VLOOKUP($C32&amp;","&amp;Z3,$C$34:$D$112,2,FALSE),"")</f>
        <v/>
      </c>
      <c r="AA32" s="27" t="str">
        <f>_xlfn.IFNA(VLOOKUP($C32&amp;","&amp;AA3,$C$34:$D$112,2,FALSE),"")</f>
        <v/>
      </c>
      <c r="AB32" s="27" t="str">
        <f>_xlfn.IFNA(VLOOKUP($C32&amp;","&amp;AB3,$C$34:$D$112,2,FALSE),"")</f>
        <v/>
      </c>
    </row>
    <row r="33" ht="20" customHeight="1" spans="1:28">
      <c r="A33" s="16">
        <v>3</v>
      </c>
      <c r="B33" s="15">
        <f t="shared" si="1"/>
        <v>29</v>
      </c>
      <c r="C33" s="20" t="s">
        <v>948</v>
      </c>
      <c r="D33" s="18" t="str">
        <f t="shared" si="2"/>
        <v>1D</v>
      </c>
      <c r="E33" s="28" t="str">
        <f>_xlfn.IFNA(VLOOKUP($C33&amp;","&amp;E3,$C$34:$D$112,2,FALSE),"")</f>
        <v/>
      </c>
      <c r="F33" s="28" t="str">
        <f>_xlfn.IFNA(VLOOKUP($C33&amp;","&amp;F3,$C$34:$D$112,2,FALSE),"")</f>
        <v/>
      </c>
      <c r="G33" s="28" t="str">
        <f>_xlfn.IFNA(VLOOKUP($C33&amp;","&amp;G3,$C$34:$D$112,2,FALSE),"")</f>
        <v/>
      </c>
      <c r="H33" s="28" t="str">
        <f>_xlfn.IFNA(VLOOKUP($C33&amp;","&amp;H3,$C$34:$D$112,2,FALSE),"")</f>
        <v/>
      </c>
      <c r="I33" s="28" t="str">
        <f>_xlfn.IFNA(VLOOKUP($C33&amp;","&amp;I3,$C$34:$D$112,2,FALSE),"")</f>
        <v/>
      </c>
      <c r="J33" s="28" t="str">
        <f>_xlfn.IFNA(VLOOKUP($C33&amp;","&amp;J3,$C$34:$D$112,2,FALSE),"")</f>
        <v/>
      </c>
      <c r="K33" s="28" t="str">
        <f>_xlfn.IFNA(VLOOKUP($C33&amp;","&amp;K3,$C$34:$D$112,2,FALSE),"")</f>
        <v/>
      </c>
      <c r="L33" s="28" t="str">
        <f>_xlfn.IFNA(VLOOKUP($C33&amp;","&amp;L3,$C$34:$D$112,2,FALSE),"")</f>
        <v/>
      </c>
      <c r="M33" s="28" t="str">
        <f>_xlfn.IFNA(VLOOKUP($C33&amp;","&amp;M3,$C$34:$D$112,2,FALSE),"")</f>
        <v/>
      </c>
      <c r="N33" s="28" t="str">
        <f>_xlfn.IFNA(VLOOKUP($C33&amp;","&amp;N3,$C$34:$D$112,2,FALSE),"")</f>
        <v>6C</v>
      </c>
      <c r="O33" s="28" t="str">
        <f>_xlfn.IFNA(VLOOKUP($C33&amp;","&amp;O3,$C$34:$D$112,2,FALSE),"")</f>
        <v/>
      </c>
      <c r="P33" s="28" t="str">
        <f>_xlfn.IFNA(VLOOKUP($C33&amp;","&amp;P3,$C$34:$D$112,2,FALSE),"")</f>
        <v/>
      </c>
      <c r="Q33" s="28" t="str">
        <f>_xlfn.IFNA(VLOOKUP($C33&amp;","&amp;Q3,$C$34:$D$112,2,FALSE),"")</f>
        <v/>
      </c>
      <c r="R33" s="28" t="str">
        <f>_xlfn.IFNA(VLOOKUP($C33&amp;","&amp;R3,$C$34:$D$112,2,FALSE),"")</f>
        <v/>
      </c>
      <c r="S33" s="28" t="str">
        <f>_xlfn.IFNA(VLOOKUP($C33&amp;","&amp;S3,$C$34:$D$112,2,FALSE),"")</f>
        <v/>
      </c>
      <c r="T33" s="28" t="str">
        <f>_xlfn.IFNA(VLOOKUP($C33&amp;","&amp;T3,$C$34:$D$112,2,FALSE),"")</f>
        <v/>
      </c>
      <c r="U33" s="28" t="str">
        <f>_xlfn.IFNA(VLOOKUP($C33&amp;","&amp;U3,$C$34:$D$112,2,FALSE),"")</f>
        <v/>
      </c>
      <c r="V33" s="28" t="str">
        <f>_xlfn.IFNA(VLOOKUP($C33&amp;","&amp;V3,$C$34:$D$112,2,FALSE),"")</f>
        <v/>
      </c>
      <c r="W33" s="28" t="str">
        <f>_xlfn.IFNA(VLOOKUP($C33&amp;","&amp;W3,$C$34:$D$112,2,FALSE),"")</f>
        <v/>
      </c>
      <c r="X33" s="28" t="str">
        <f>_xlfn.IFNA(VLOOKUP($C33&amp;","&amp;X3,$C$34:$D$112,2,FALSE),"")</f>
        <v/>
      </c>
      <c r="Y33" s="28" t="str">
        <f>_xlfn.IFNA(VLOOKUP($C33&amp;","&amp;Y3,$C$34:$D$112,2,FALSE),"")</f>
        <v/>
      </c>
      <c r="Z33" s="28" t="str">
        <f>_xlfn.IFNA(VLOOKUP($C33&amp;","&amp;Z3,$C$34:$D$112,2,FALSE),"")</f>
        <v/>
      </c>
      <c r="AA33" s="27" t="str">
        <f>_xlfn.IFNA(VLOOKUP($C33&amp;","&amp;AA3,$C$34:$D$112,2,FALSE),"")</f>
        <v/>
      </c>
      <c r="AB33" s="27" t="str">
        <f>_xlfn.IFNA(VLOOKUP($C33&amp;","&amp;AB3,$C$34:$D$112,2,FALSE),"")</f>
        <v/>
      </c>
    </row>
    <row r="34" ht="20" customHeight="1" spans="1:28">
      <c r="A34" s="16">
        <v>1</v>
      </c>
      <c r="B34" s="21">
        <f t="shared" si="1"/>
        <v>30</v>
      </c>
      <c r="C34" s="22" t="s">
        <v>949</v>
      </c>
      <c r="D34" s="23" t="str">
        <f t="shared" si="2"/>
        <v>1E</v>
      </c>
      <c r="E34" s="29" t="str">
        <f>_xlfn.IFNA(VLOOKUP($C34&amp;","&amp;E3,汇编指令!$C$2:$D$235,2,FALSE),"")</f>
        <v>E4</v>
      </c>
      <c r="F34" s="30" t="str">
        <f>_xlfn.IFNA(VLOOKUP($C34&amp;","&amp;F3,汇编指令!$C$2:$D$235,2,FALSE),"")</f>
        <v/>
      </c>
      <c r="G34" s="30" t="str">
        <f>_xlfn.IFNA(VLOOKUP($C34&amp;","&amp;G3,汇编指令!$C$2:$D$235,2,FALSE),"")</f>
        <v/>
      </c>
      <c r="H34" s="30" t="str">
        <f>_xlfn.IFNA(VLOOKUP($C34&amp;","&amp;H3,汇编指令!$C$2:$D$235,2,FALSE),"")</f>
        <v/>
      </c>
      <c r="I34" s="30" t="str">
        <f>_xlfn.IFNA(VLOOKUP($C34&amp;","&amp;I3,汇编指令!$C$2:$D$235,2,FALSE),"")</f>
        <v/>
      </c>
      <c r="J34" s="30" t="str">
        <f>_xlfn.IFNA(VLOOKUP($C34&amp;","&amp;J3,汇编指令!$C$2:$D$235,2,FALSE),"")</f>
        <v/>
      </c>
      <c r="K34" s="30" t="str">
        <f>_xlfn.IFNA(VLOOKUP($C34&amp;","&amp;K3,汇编指令!$C$2:$D$235,2,FALSE),"")</f>
        <v/>
      </c>
      <c r="L34" s="30" t="str">
        <f>_xlfn.IFNA(VLOOKUP($C34&amp;","&amp;L3,汇编指令!$C$2:$D$235,2,FALSE),"")</f>
        <v/>
      </c>
      <c r="M34" s="30" t="str">
        <f>_xlfn.IFNA(VLOOKUP($C34&amp;","&amp;M3,汇编指令!$C$2:$D$235,2,FALSE),"")</f>
        <v/>
      </c>
      <c r="N34" s="30" t="str">
        <f>_xlfn.IFNA(VLOOKUP($C34&amp;","&amp;N3,汇编指令!$C$2:$D$235,2,FALSE),"")</f>
        <v/>
      </c>
      <c r="O34" s="30" t="str">
        <f>_xlfn.IFNA(VLOOKUP($C34&amp;","&amp;O3,汇编指令!$C$2:$D$235,2,FALSE),"")</f>
        <v/>
      </c>
      <c r="P34" s="30" t="str">
        <f>_xlfn.IFNA(VLOOKUP($C34&amp;","&amp;P3,汇编指令!$C$2:$D$235,2,FALSE),"")</f>
        <v/>
      </c>
      <c r="Q34" s="30" t="str">
        <f>_xlfn.IFNA(VLOOKUP($C34&amp;","&amp;Q3,汇编指令!$C$2:$D$235,2,FALSE),"")</f>
        <v/>
      </c>
      <c r="R34" s="30" t="str">
        <f>_xlfn.IFNA(VLOOKUP($C34&amp;","&amp;R3,汇编指令!$C$2:$D$235,2,FALSE),"")</f>
        <v/>
      </c>
      <c r="S34" s="30" t="str">
        <f>_xlfn.IFNA(VLOOKUP($C34&amp;","&amp;S3,汇编指令!$C$2:$D$235,2,FALSE),"")</f>
        <v/>
      </c>
      <c r="T34" s="30" t="str">
        <f>_xlfn.IFNA(VLOOKUP($C34&amp;","&amp;T3,汇编指令!$C$2:$D$235,2,FALSE),"")</f>
        <v/>
      </c>
      <c r="U34" s="30" t="str">
        <f>_xlfn.IFNA(VLOOKUP($C34&amp;","&amp;U3,汇编指令!$C$2:$D$235,2,FALSE),"")</f>
        <v/>
      </c>
      <c r="V34" s="30" t="str">
        <f>_xlfn.IFNA(VLOOKUP($C34&amp;","&amp;V3,汇编指令!$C$2:$D$235,2,FALSE),"")</f>
        <v/>
      </c>
      <c r="W34" s="30" t="str">
        <f>_xlfn.IFNA(VLOOKUP($C34&amp;","&amp;W3,汇编指令!$C$2:$D$235,2,FALSE),"")</f>
        <v/>
      </c>
      <c r="X34" s="30" t="str">
        <f>_xlfn.IFNA(VLOOKUP($C34&amp;","&amp;X3,汇编指令!$C$2:$D$235,2,FALSE),"")</f>
        <v/>
      </c>
      <c r="Y34" s="35" t="str">
        <f>_xlfn.IFNA(VLOOKUP($C34&amp;","&amp;Y3,汇编指令!$C$2:$D$235,2,FALSE),"")</f>
        <v>C2</v>
      </c>
      <c r="Z34" s="35" t="str">
        <f>_xlfn.IFNA(VLOOKUP($C34&amp;","&amp;Z3,汇编指令!$C$2:$D$235,2,FALSE),"")</f>
        <v>C3</v>
      </c>
      <c r="AA34" s="32" t="str">
        <f>_xlfn.IFNA(VLOOKUP($C34&amp;","&amp;AA3,汇编指令!$C$2:$D$235,2,FALSE),"")</f>
        <v/>
      </c>
      <c r="AB34" s="32" t="str">
        <f>_xlfn.IFNA(VLOOKUP($C34&amp;","&amp;AB3,汇编指令!$C$2:$D$235,2,FALSE),"")</f>
        <v/>
      </c>
    </row>
    <row r="35" ht="20" customHeight="1" spans="1:28">
      <c r="A35" s="16">
        <v>1</v>
      </c>
      <c r="B35" s="21">
        <f t="shared" si="1"/>
        <v>31</v>
      </c>
      <c r="C35" s="24" t="s">
        <v>950</v>
      </c>
      <c r="D35" s="23" t="str">
        <f t="shared" si="2"/>
        <v>1F</v>
      </c>
      <c r="E35" s="31" t="str">
        <f>_xlfn.IFNA(VLOOKUP($C35&amp;","&amp;E3,汇编指令!$C$2:$D$235,2,FALSE),"")</f>
        <v>F4</v>
      </c>
      <c r="F35" s="32" t="str">
        <f>_xlfn.IFNA(VLOOKUP($C35&amp;","&amp;F3,汇编指令!$C$2:$D$235,2,FALSE),"")</f>
        <v/>
      </c>
      <c r="G35" s="32" t="str">
        <f>_xlfn.IFNA(VLOOKUP($C35&amp;","&amp;G3,汇编指令!$C$2:$D$235,2,FALSE),"")</f>
        <v/>
      </c>
      <c r="H35" s="32" t="str">
        <f>_xlfn.IFNA(VLOOKUP($C35&amp;","&amp;H3,汇编指令!$C$2:$D$235,2,FALSE),"")</f>
        <v/>
      </c>
      <c r="I35" s="32" t="str">
        <f>_xlfn.IFNA(VLOOKUP($C35&amp;","&amp;I3,汇编指令!$C$2:$D$235,2,FALSE),"")</f>
        <v/>
      </c>
      <c r="J35" s="32" t="str">
        <f>_xlfn.IFNA(VLOOKUP($C35&amp;","&amp;J3,汇编指令!$C$2:$D$235,2,FALSE),"")</f>
        <v/>
      </c>
      <c r="K35" s="32" t="str">
        <f>_xlfn.IFNA(VLOOKUP($C35&amp;","&amp;K3,汇编指令!$C$2:$D$235,2,FALSE),"")</f>
        <v/>
      </c>
      <c r="L35" s="32" t="str">
        <f>_xlfn.IFNA(VLOOKUP($C35&amp;","&amp;L3,汇编指令!$C$2:$D$235,2,FALSE),"")</f>
        <v/>
      </c>
      <c r="M35" s="32" t="str">
        <f>_xlfn.IFNA(VLOOKUP($C35&amp;","&amp;M3,汇编指令!$C$2:$D$235,2,FALSE),"")</f>
        <v/>
      </c>
      <c r="N35" s="32" t="str">
        <f>_xlfn.IFNA(VLOOKUP($C35&amp;","&amp;N3,汇编指令!$C$2:$D$235,2,FALSE),"")</f>
        <v/>
      </c>
      <c r="O35" s="32" t="str">
        <f>_xlfn.IFNA(VLOOKUP($C35&amp;","&amp;O3,汇编指令!$C$2:$D$235,2,FALSE),"")</f>
        <v/>
      </c>
      <c r="P35" s="32" t="str">
        <f>_xlfn.IFNA(VLOOKUP($C35&amp;","&amp;P3,汇编指令!$C$2:$D$235,2,FALSE),"")</f>
        <v/>
      </c>
      <c r="Q35" s="32" t="str">
        <f>_xlfn.IFNA(VLOOKUP($C35&amp;","&amp;Q3,汇编指令!$C$2:$D$235,2,FALSE),"")</f>
        <v/>
      </c>
      <c r="R35" s="32" t="str">
        <f>_xlfn.IFNA(VLOOKUP($C35&amp;","&amp;R3,汇编指令!$C$2:$D$235,2,FALSE),"")</f>
        <v/>
      </c>
      <c r="S35" s="32" t="str">
        <f>_xlfn.IFNA(VLOOKUP($C35&amp;","&amp;S3,汇编指令!$C$2:$D$235,2,FALSE),"")</f>
        <v/>
      </c>
      <c r="T35" s="32" t="str">
        <f>_xlfn.IFNA(VLOOKUP($C35&amp;","&amp;T3,汇编指令!$C$2:$D$235,2,FALSE),"")</f>
        <v/>
      </c>
      <c r="U35" s="32" t="str">
        <f>_xlfn.IFNA(VLOOKUP($C35&amp;","&amp;U3,汇编指令!$C$2:$D$235,2,FALSE),"")</f>
        <v/>
      </c>
      <c r="V35" s="32" t="str">
        <f>_xlfn.IFNA(VLOOKUP($C35&amp;","&amp;V3,汇编指令!$C$2:$D$235,2,FALSE),"")</f>
        <v/>
      </c>
      <c r="W35" s="32" t="str">
        <f>_xlfn.IFNA(VLOOKUP($C35&amp;","&amp;W3,汇编指令!$C$2:$D$235,2,FALSE),"")</f>
        <v/>
      </c>
      <c r="X35" s="32" t="str">
        <f>_xlfn.IFNA(VLOOKUP($C35&amp;","&amp;X3,汇编指令!$C$2:$D$235,2,FALSE),"")</f>
        <v/>
      </c>
      <c r="Y35" s="33" t="str">
        <f>_xlfn.IFNA(VLOOKUP($C35&amp;","&amp;Y3,汇编指令!$C$2:$D$235,2,FALSE),"")</f>
        <v>B2</v>
      </c>
      <c r="Z35" s="32" t="str">
        <f>_xlfn.IFNA(VLOOKUP($C35&amp;","&amp;Z3,汇编指令!$C$2:$D$235,2,FALSE),"")</f>
        <v/>
      </c>
      <c r="AA35" s="32" t="str">
        <f>_xlfn.IFNA(VLOOKUP($C35&amp;","&amp;AA3,汇编指令!$C$2:$D$235,2,FALSE),"")</f>
        <v/>
      </c>
      <c r="AB35" s="32" t="str">
        <f>_xlfn.IFNA(VLOOKUP($C35&amp;","&amp;AB3,汇编指令!$C$2:$D$235,2,FALSE),"")</f>
        <v/>
      </c>
    </row>
    <row r="36" ht="20" customHeight="1" spans="1:28">
      <c r="A36" s="16">
        <v>1</v>
      </c>
      <c r="B36" s="21">
        <f t="shared" si="1"/>
        <v>32</v>
      </c>
      <c r="C36" s="24" t="s">
        <v>951</v>
      </c>
      <c r="D36" s="23" t="str">
        <f t="shared" si="2"/>
        <v>20</v>
      </c>
      <c r="E36" s="31" t="str">
        <f>_xlfn.IFNA(VLOOKUP($C36&amp;","&amp;E3,汇编指令!$C$2:$D$235,2,FALSE),"")</f>
        <v>D4</v>
      </c>
      <c r="F36" s="32" t="str">
        <f>_xlfn.IFNA(VLOOKUP($C36&amp;","&amp;F3,汇编指令!$C$2:$D$235,2,FALSE),"")</f>
        <v/>
      </c>
      <c r="G36" s="32" t="str">
        <f>_xlfn.IFNA(VLOOKUP($C36&amp;","&amp;G3,汇编指令!$C$2:$D$235,2,FALSE),"")</f>
        <v/>
      </c>
      <c r="H36" s="32" t="str">
        <f>_xlfn.IFNA(VLOOKUP($C36&amp;","&amp;H3,汇编指令!$C$2:$D$235,2,FALSE),"")</f>
        <v/>
      </c>
      <c r="I36" s="32" t="str">
        <f>_xlfn.IFNA(VLOOKUP($C36&amp;","&amp;I3,汇编指令!$C$2:$D$235,2,FALSE),"")</f>
        <v/>
      </c>
      <c r="J36" s="32" t="str">
        <f>_xlfn.IFNA(VLOOKUP($C36&amp;","&amp;J3,汇编指令!$C$2:$D$235,2,FALSE),"")</f>
        <v/>
      </c>
      <c r="K36" s="32" t="str">
        <f>_xlfn.IFNA(VLOOKUP($C36&amp;","&amp;K3,汇编指令!$C$2:$D$235,2,FALSE),"")</f>
        <v/>
      </c>
      <c r="L36" s="32" t="str">
        <f>_xlfn.IFNA(VLOOKUP($C36&amp;","&amp;L3,汇编指令!$C$2:$D$235,2,FALSE),"")</f>
        <v/>
      </c>
      <c r="M36" s="32" t="str">
        <f>_xlfn.IFNA(VLOOKUP($C36&amp;","&amp;M3,汇编指令!$C$2:$D$235,2,FALSE),"")</f>
        <v/>
      </c>
      <c r="N36" s="32" t="str">
        <f>_xlfn.IFNA(VLOOKUP($C36&amp;","&amp;N3,汇编指令!$C$2:$D$235,2,FALSE),"")</f>
        <v/>
      </c>
      <c r="O36" s="32" t="str">
        <f>_xlfn.IFNA(VLOOKUP($C36&amp;","&amp;O3,汇编指令!$C$2:$D$235,2,FALSE),"")</f>
        <v/>
      </c>
      <c r="P36" s="32" t="str">
        <f>_xlfn.IFNA(VLOOKUP($C36&amp;","&amp;P3,汇编指令!$C$2:$D$235,2,FALSE),"")</f>
        <v/>
      </c>
      <c r="Q36" s="32" t="str">
        <f>_xlfn.IFNA(VLOOKUP($C36&amp;","&amp;Q3,汇编指令!$C$2:$D$235,2,FALSE),"")</f>
        <v/>
      </c>
      <c r="R36" s="32" t="str">
        <f>_xlfn.IFNA(VLOOKUP($C36&amp;","&amp;R3,汇编指令!$C$2:$D$235,2,FALSE),"")</f>
        <v/>
      </c>
      <c r="S36" s="32" t="str">
        <f>_xlfn.IFNA(VLOOKUP($C36&amp;","&amp;S3,汇编指令!$C$2:$D$235,2,FALSE),"")</f>
        <v/>
      </c>
      <c r="T36" s="32" t="str">
        <f>_xlfn.IFNA(VLOOKUP($C36&amp;","&amp;T3,汇编指令!$C$2:$D$235,2,FALSE),"")</f>
        <v/>
      </c>
      <c r="U36" s="32" t="str">
        <f>_xlfn.IFNA(VLOOKUP($C36&amp;","&amp;U3,汇编指令!$C$2:$D$235,2,FALSE),"")</f>
        <v/>
      </c>
      <c r="V36" s="32" t="str">
        <f>_xlfn.IFNA(VLOOKUP($C36&amp;","&amp;V3,汇编指令!$C$2:$D$235,2,FALSE),"")</f>
        <v/>
      </c>
      <c r="W36" s="32" t="str">
        <f>_xlfn.IFNA(VLOOKUP($C36&amp;","&amp;W3,汇编指令!$C$2:$D$235,2,FALSE),"")</f>
        <v/>
      </c>
      <c r="X36" s="32" t="str">
        <f>_xlfn.IFNA(VLOOKUP($C36&amp;","&amp;X3,汇编指令!$C$2:$D$235,2,FALSE),"")</f>
        <v/>
      </c>
      <c r="Y36" s="32" t="str">
        <f>_xlfn.IFNA(VLOOKUP($C36&amp;","&amp;Y3,汇编指令!$C$2:$D$235,2,FALSE),"")</f>
        <v/>
      </c>
      <c r="Z36" s="32" t="str">
        <f>_xlfn.IFNA(VLOOKUP($C36&amp;","&amp;Z3,汇编指令!$C$2:$D$235,2,FALSE),"")</f>
        <v/>
      </c>
      <c r="AA36" s="32" t="str">
        <f>_xlfn.IFNA(VLOOKUP($C36&amp;","&amp;AA3,汇编指令!$C$2:$D$235,2,FALSE),"")</f>
        <v/>
      </c>
      <c r="AB36" s="32" t="str">
        <f>_xlfn.IFNA(VLOOKUP($C36&amp;","&amp;AB3,汇编指令!$C$2:$D$235,2,FALSE),"")</f>
        <v/>
      </c>
    </row>
    <row r="37" ht="20" customHeight="1" spans="1:28">
      <c r="A37" s="16">
        <v>1</v>
      </c>
      <c r="B37" s="21">
        <f t="shared" si="1"/>
        <v>33</v>
      </c>
      <c r="C37" s="24" t="s">
        <v>952</v>
      </c>
      <c r="D37" s="23" t="str">
        <f t="shared" si="2"/>
        <v>21</v>
      </c>
      <c r="E37" s="31" t="str">
        <f>_xlfn.IFNA(VLOOKUP($C37&amp;","&amp;E3,汇编指令!$C$2:$D$235,2,FALSE),"")</f>
        <v>14</v>
      </c>
      <c r="F37" s="33" t="str">
        <f>_xlfn.IFNA(VLOOKUP($C37&amp;","&amp;F3,汇编指令!$C$2:$D$235,2,FALSE),"")</f>
        <v>18</v>
      </c>
      <c r="G37" s="33" t="str">
        <f>_xlfn.IFNA(VLOOKUP($C37&amp;","&amp;G3,汇编指令!$C$2:$D$235,2,FALSE),"")</f>
        <v>19</v>
      </c>
      <c r="H37" s="33" t="str">
        <f>_xlfn.IFNA(VLOOKUP($C37&amp;","&amp;H3,汇编指令!$C$2:$D$235,2,FALSE),"")</f>
        <v>1A</v>
      </c>
      <c r="I37" s="33" t="str">
        <f>_xlfn.IFNA(VLOOKUP($C37&amp;","&amp;I3,汇编指令!$C$2:$D$235,2,FALSE),"")</f>
        <v>1B</v>
      </c>
      <c r="J37" s="33" t="str">
        <f>_xlfn.IFNA(VLOOKUP($C37&amp;","&amp;J3,汇编指令!$C$2:$D$235,2,FALSE),"")</f>
        <v>1C</v>
      </c>
      <c r="K37" s="33" t="str">
        <f>_xlfn.IFNA(VLOOKUP($C37&amp;","&amp;K3,汇编指令!$C$2:$D$235,2,FALSE),"")</f>
        <v>1D</v>
      </c>
      <c r="L37" s="33" t="str">
        <f>_xlfn.IFNA(VLOOKUP($C37&amp;","&amp;L3,汇编指令!$C$2:$D$235,2,FALSE),"")</f>
        <v>1E</v>
      </c>
      <c r="M37" s="33" t="str">
        <f>_xlfn.IFNA(VLOOKUP($C37&amp;","&amp;M3,汇编指令!$C$2:$D$235,2,FALSE),"")</f>
        <v>1F</v>
      </c>
      <c r="N37" s="32" t="str">
        <f>_xlfn.IFNA(VLOOKUP($C37&amp;","&amp;N3,汇编指令!$C$2:$D$235,2,FALSE),"")</f>
        <v/>
      </c>
      <c r="O37" s="33" t="str">
        <f>_xlfn.IFNA(VLOOKUP($C37&amp;","&amp;O3,汇编指令!$C$2:$D$235,2,FALSE),"")</f>
        <v>15</v>
      </c>
      <c r="P37" s="33" t="str">
        <f>_xlfn.IFNA(VLOOKUP($C37&amp;","&amp;P3,汇编指令!$C$2:$D$235,2,FALSE),"")</f>
        <v>16</v>
      </c>
      <c r="Q37" s="33" t="str">
        <f>_xlfn.IFNA(VLOOKUP($C37&amp;","&amp;Q3,汇编指令!$C$2:$D$235,2,FALSE),"")</f>
        <v>17</v>
      </c>
      <c r="R37" s="32" t="str">
        <f>_xlfn.IFNA(VLOOKUP($C37&amp;","&amp;R3,汇编指令!$C$2:$D$235,2,FALSE),"")</f>
        <v/>
      </c>
      <c r="S37" s="32" t="str">
        <f>_xlfn.IFNA(VLOOKUP($C37&amp;","&amp;S3,汇编指令!$C$2:$D$235,2,FALSE),"")</f>
        <v/>
      </c>
      <c r="T37" s="32" t="str">
        <f>_xlfn.IFNA(VLOOKUP($C37&amp;","&amp;T3,汇编指令!$C$2:$D$235,2,FALSE),"")</f>
        <v/>
      </c>
      <c r="U37" s="32" t="str">
        <f>_xlfn.IFNA(VLOOKUP($C37&amp;","&amp;U3,汇编指令!$C$2:$D$235,2,FALSE),"")</f>
        <v/>
      </c>
      <c r="V37" s="32" t="str">
        <f>_xlfn.IFNA(VLOOKUP($C37&amp;","&amp;V3,汇编指令!$C$2:$D$235,2,FALSE),"")</f>
        <v/>
      </c>
      <c r="W37" s="32" t="str">
        <f>_xlfn.IFNA(VLOOKUP($C37&amp;","&amp;W3,汇编指令!$C$2:$D$235,2,FALSE),"")</f>
        <v/>
      </c>
      <c r="X37" s="32" t="str">
        <f>_xlfn.IFNA(VLOOKUP($C37&amp;","&amp;X3,汇编指令!$C$2:$D$235,2,FALSE),"")</f>
        <v/>
      </c>
      <c r="Y37" s="32" t="str">
        <f>_xlfn.IFNA(VLOOKUP($C37&amp;","&amp;Y3,汇编指令!$C$2:$D$235,2,FALSE),"")</f>
        <v/>
      </c>
      <c r="Z37" s="32" t="str">
        <f>_xlfn.IFNA(VLOOKUP($C37&amp;","&amp;Z3,汇编指令!$C$2:$D$235,2,FALSE),"")</f>
        <v/>
      </c>
      <c r="AA37" s="32" t="str">
        <f>_xlfn.IFNA(VLOOKUP($C37&amp;","&amp;AA3,汇编指令!$C$2:$D$235,2,FALSE),"")</f>
        <v/>
      </c>
      <c r="AB37" s="32" t="str">
        <f>_xlfn.IFNA(VLOOKUP($C37&amp;","&amp;AB3,汇编指令!$C$2:$D$235,2,FALSE),"")</f>
        <v/>
      </c>
    </row>
    <row r="38" ht="20" customHeight="1" spans="1:28">
      <c r="A38" s="16">
        <v>1</v>
      </c>
      <c r="B38" s="21">
        <f t="shared" si="1"/>
        <v>34</v>
      </c>
      <c r="C38" s="24" t="s">
        <v>953</v>
      </c>
      <c r="D38" s="23" t="str">
        <f t="shared" si="2"/>
        <v>22</v>
      </c>
      <c r="E38" s="34" t="str">
        <f>_xlfn.IFNA(VLOOKUP($C38&amp;","&amp;E3,汇编指令!$C$2:$D$235,2,FALSE),"")</f>
        <v/>
      </c>
      <c r="F38" s="32" t="str">
        <f>_xlfn.IFNA(VLOOKUP($C38&amp;","&amp;F3,汇编指令!$C$2:$D$235,2,FALSE),"")</f>
        <v/>
      </c>
      <c r="G38" s="32" t="str">
        <f>_xlfn.IFNA(VLOOKUP($C38&amp;","&amp;G3,汇编指令!$C$2:$D$235,2,FALSE),"")</f>
        <v/>
      </c>
      <c r="H38" s="32" t="str">
        <f>_xlfn.IFNA(VLOOKUP($C38&amp;","&amp;H3,汇编指令!$C$2:$D$235,2,FALSE),"")</f>
        <v/>
      </c>
      <c r="I38" s="32" t="str">
        <f>_xlfn.IFNA(VLOOKUP($C38&amp;","&amp;I3,汇编指令!$C$2:$D$235,2,FALSE),"")</f>
        <v/>
      </c>
      <c r="J38" s="32" t="str">
        <f>_xlfn.IFNA(VLOOKUP($C38&amp;","&amp;J3,汇编指令!$C$2:$D$235,2,FALSE),"")</f>
        <v/>
      </c>
      <c r="K38" s="32" t="str">
        <f>_xlfn.IFNA(VLOOKUP($C38&amp;","&amp;K3,汇编指令!$C$2:$D$235,2,FALSE),"")</f>
        <v/>
      </c>
      <c r="L38" s="32" t="str">
        <f>_xlfn.IFNA(VLOOKUP($C38&amp;","&amp;L3,汇编指令!$C$2:$D$235,2,FALSE),"")</f>
        <v/>
      </c>
      <c r="M38" s="32" t="str">
        <f>_xlfn.IFNA(VLOOKUP($C38&amp;","&amp;M3,汇编指令!$C$2:$D$235,2,FALSE),"")</f>
        <v/>
      </c>
      <c r="N38" s="32" t="str">
        <f>_xlfn.IFNA(VLOOKUP($C38&amp;","&amp;N3,汇编指令!$C$2:$D$235,2,FALSE),"")</f>
        <v/>
      </c>
      <c r="O38" s="32" t="str">
        <f>_xlfn.IFNA(VLOOKUP($C38&amp;","&amp;O3,汇编指令!$C$2:$D$235,2,FALSE),"")</f>
        <v/>
      </c>
      <c r="P38" s="32" t="str">
        <f>_xlfn.IFNA(VLOOKUP($C38&amp;","&amp;P3,汇编指令!$C$2:$D$235,2,FALSE),"")</f>
        <v/>
      </c>
      <c r="Q38" s="32" t="str">
        <f>_xlfn.IFNA(VLOOKUP($C38&amp;","&amp;Q3,汇编指令!$C$2:$D$235,2,FALSE),"")</f>
        <v/>
      </c>
      <c r="R38" s="32" t="str">
        <f>_xlfn.IFNA(VLOOKUP($C38&amp;","&amp;R3,汇编指令!$C$2:$D$235,2,FALSE),"")</f>
        <v/>
      </c>
      <c r="S38" s="32" t="str">
        <f>_xlfn.IFNA(VLOOKUP($C38&amp;","&amp;S3,汇编指令!$C$2:$D$235,2,FALSE),"")</f>
        <v/>
      </c>
      <c r="T38" s="32" t="str">
        <f>_xlfn.IFNA(VLOOKUP($C38&amp;","&amp;T3,汇编指令!$C$2:$D$235,2,FALSE),"")</f>
        <v/>
      </c>
      <c r="U38" s="32" t="str">
        <f>_xlfn.IFNA(VLOOKUP($C38&amp;","&amp;U3,汇编指令!$C$2:$D$235,2,FALSE),"")</f>
        <v/>
      </c>
      <c r="V38" s="32" t="str">
        <f>_xlfn.IFNA(VLOOKUP($C38&amp;","&amp;V3,汇编指令!$C$2:$D$235,2,FALSE),"")</f>
        <v/>
      </c>
      <c r="W38" s="32" t="str">
        <f>_xlfn.IFNA(VLOOKUP($C38&amp;","&amp;W3,汇编指令!$C$2:$D$235,2,FALSE),"")</f>
        <v/>
      </c>
      <c r="X38" s="32" t="str">
        <f>_xlfn.IFNA(VLOOKUP($C38&amp;","&amp;X3,汇编指令!$C$2:$D$235,2,FALSE),"")</f>
        <v/>
      </c>
      <c r="Y38" s="32" t="str">
        <f>_xlfn.IFNA(VLOOKUP($C38&amp;","&amp;Y3,汇编指令!$C$2:$D$235,2,FALSE),"")</f>
        <v/>
      </c>
      <c r="Z38" s="32" t="str">
        <f>_xlfn.IFNA(VLOOKUP($C38&amp;","&amp;Z3,汇编指令!$C$2:$D$235,2,FALSE),"")</f>
        <v/>
      </c>
      <c r="AA38" s="33" t="str">
        <f>_xlfn.IFNA(VLOOKUP($C38&amp;","&amp;AA3,汇编指令!$C$2:$D$235,2,FALSE),"")</f>
        <v>84</v>
      </c>
      <c r="AB38" s="33" t="str">
        <f>_xlfn.IFNA(VLOOKUP($C38&amp;","&amp;AB3,汇编指令!$C$2:$D$235,2,FALSE),"")</f>
        <v/>
      </c>
    </row>
    <row r="39" s="7" customFormat="1" ht="20" customHeight="1" spans="1:28">
      <c r="A39" s="16">
        <v>1</v>
      </c>
      <c r="B39" s="21">
        <f t="shared" si="1"/>
        <v>35</v>
      </c>
      <c r="C39" s="24" t="s">
        <v>954</v>
      </c>
      <c r="D39" s="23" t="str">
        <f t="shared" si="2"/>
        <v>23</v>
      </c>
      <c r="E39" s="31" t="str">
        <f>_xlfn.IFNA(VLOOKUP($C39&amp;","&amp;E3,汇编指令!$C$2:$D$235,2,FALSE),"")</f>
        <v>4</v>
      </c>
      <c r="F39" s="33" t="str">
        <f>_xlfn.IFNA(VLOOKUP($C39&amp;","&amp;F3,汇编指令!$C$2:$D$235,2,FALSE),"")</f>
        <v>8</v>
      </c>
      <c r="G39" s="33" t="str">
        <f>_xlfn.IFNA(VLOOKUP($C39&amp;","&amp;G3,汇编指令!$C$2:$D$235,2,FALSE),"")</f>
        <v>9</v>
      </c>
      <c r="H39" s="33" t="str">
        <f>_xlfn.IFNA(VLOOKUP($C39&amp;","&amp;H3,汇编指令!$C$2:$D$235,2,FALSE),"")</f>
        <v>A</v>
      </c>
      <c r="I39" s="33" t="str">
        <f>_xlfn.IFNA(VLOOKUP($C39&amp;","&amp;I3,汇编指令!$C$2:$D$235,2,FALSE),"")</f>
        <v>B</v>
      </c>
      <c r="J39" s="33" t="str">
        <f>_xlfn.IFNA(VLOOKUP($C39&amp;","&amp;J3,汇编指令!$C$2:$D$235,2,FALSE),"")</f>
        <v>C</v>
      </c>
      <c r="K39" s="33" t="str">
        <f>_xlfn.IFNA(VLOOKUP($C39&amp;","&amp;K3,汇编指令!$C$2:$D$235,2,FALSE),"")</f>
        <v>D</v>
      </c>
      <c r="L39" s="33" t="str">
        <f>_xlfn.IFNA(VLOOKUP($C39&amp;","&amp;L3,汇编指令!$C$2:$D$235,2,FALSE),"")</f>
        <v>E</v>
      </c>
      <c r="M39" s="33" t="str">
        <f>_xlfn.IFNA(VLOOKUP($C39&amp;","&amp;M3,汇编指令!$C$2:$D$235,2,FALSE),"")</f>
        <v>F</v>
      </c>
      <c r="N39" s="33" t="str">
        <f>_xlfn.IFNA(VLOOKUP($C39&amp;","&amp;N3,汇编指令!$C$2:$D$235,2,FALSE),"")</f>
        <v/>
      </c>
      <c r="O39" s="33" t="str">
        <f>_xlfn.IFNA(VLOOKUP($C39&amp;","&amp;O3,汇编指令!$C$2:$D$235,2,FALSE),"")</f>
        <v>5</v>
      </c>
      <c r="P39" s="33" t="str">
        <f>_xlfn.IFNA(VLOOKUP($C39&amp;","&amp;P3,汇编指令!$C$2:$D$235,2,FALSE),"")</f>
        <v>6</v>
      </c>
      <c r="Q39" s="33" t="str">
        <f>_xlfn.IFNA(VLOOKUP($C39&amp;","&amp;Q3,汇编指令!$C$2:$D$235,2,FALSE),"")</f>
        <v>7</v>
      </c>
      <c r="R39" s="33" t="str">
        <f>_xlfn.IFNA(VLOOKUP($C39&amp;","&amp;R3,汇编指令!$C$2:$D$235,2,FALSE),"")</f>
        <v>A3</v>
      </c>
      <c r="S39" s="32" t="str">
        <f>_xlfn.IFNA(VLOOKUP($C39&amp;","&amp;S3,汇编指令!$C$2:$D$235,2,FALSE),"")</f>
        <v/>
      </c>
      <c r="T39" s="32" t="str">
        <f>_xlfn.IFNA(VLOOKUP($C39&amp;","&amp;T3,汇编指令!$C$2:$D$235,2,FALSE),"")</f>
        <v/>
      </c>
      <c r="U39" s="32" t="str">
        <f>_xlfn.IFNA(VLOOKUP($C39&amp;","&amp;U3,汇编指令!$C$2:$D$235,2,FALSE),"")</f>
        <v/>
      </c>
      <c r="V39" s="32" t="str">
        <f>_xlfn.IFNA(VLOOKUP($C39&amp;","&amp;V3,汇编指令!$C$2:$D$235,2,FALSE),"")</f>
        <v/>
      </c>
      <c r="W39" s="32" t="str">
        <f>_xlfn.IFNA(VLOOKUP($C39&amp;","&amp;W3,汇编指令!$C$2:$D$235,2,FALSE),"")</f>
        <v/>
      </c>
      <c r="X39" s="32" t="str">
        <f>_xlfn.IFNA(VLOOKUP($C39&amp;","&amp;X3,汇编指令!$C$2:$D$235,2,FALSE),"")</f>
        <v/>
      </c>
      <c r="Y39" s="32" t="str">
        <f>_xlfn.IFNA(VLOOKUP($C39&amp;","&amp;Y3,汇编指令!$C$2:$D$235,2,FALSE),"")</f>
        <v/>
      </c>
      <c r="Z39" s="32" t="str">
        <f>_xlfn.IFNA(VLOOKUP($C39&amp;","&amp;Z3,汇编指令!$C$2:$D$235,2,FALSE),"")</f>
        <v/>
      </c>
      <c r="AA39" s="32" t="str">
        <f>_xlfn.IFNA(VLOOKUP($C39&amp;","&amp;AA3,汇编指令!$C$2:$D$235,2,FALSE),"")</f>
        <v/>
      </c>
      <c r="AB39" s="32" t="str">
        <f>_xlfn.IFNA(VLOOKUP($C39&amp;","&amp;AB3,汇编指令!$C$2:$D$235,2,FALSE),"")</f>
        <v/>
      </c>
    </row>
    <row r="40" ht="20" customHeight="1" spans="1:28">
      <c r="A40" s="16">
        <v>1</v>
      </c>
      <c r="B40" s="21">
        <f t="shared" si="1"/>
        <v>36</v>
      </c>
      <c r="C40" s="24" t="s">
        <v>955</v>
      </c>
      <c r="D40" s="23" t="str">
        <f t="shared" si="2"/>
        <v>24</v>
      </c>
      <c r="E40" s="34" t="str">
        <f>_xlfn.IFNA(VLOOKUP($C40&amp;","&amp;E3,汇编指令!$C$2:$D$235,2,FALSE),"")</f>
        <v/>
      </c>
      <c r="F40" s="32" t="str">
        <f>_xlfn.IFNA(VLOOKUP($C40&amp;","&amp;F3,汇编指令!$C$2:$D$235,2,FALSE),"")</f>
        <v/>
      </c>
      <c r="G40" s="32" t="str">
        <f>_xlfn.IFNA(VLOOKUP($C40&amp;","&amp;G3,汇编指令!$C$2:$D$235,2,FALSE),"")</f>
        <v/>
      </c>
      <c r="H40" s="32" t="str">
        <f>_xlfn.IFNA(VLOOKUP($C40&amp;","&amp;H3,汇编指令!$C$2:$D$235,2,FALSE),"")</f>
        <v/>
      </c>
      <c r="I40" s="32" t="str">
        <f>_xlfn.IFNA(VLOOKUP($C40&amp;","&amp;I3,汇编指令!$C$2:$D$235,2,FALSE),"")</f>
        <v/>
      </c>
      <c r="J40" s="32" t="str">
        <f>_xlfn.IFNA(VLOOKUP($C40&amp;","&amp;J3,汇编指令!$C$2:$D$235,2,FALSE),"")</f>
        <v/>
      </c>
      <c r="K40" s="32" t="str">
        <f>_xlfn.IFNA(VLOOKUP($C40&amp;","&amp;K3,汇编指令!$C$2:$D$235,2,FALSE),"")</f>
        <v/>
      </c>
      <c r="L40" s="32" t="str">
        <f>_xlfn.IFNA(VLOOKUP($C40&amp;","&amp;L3,汇编指令!$C$2:$D$235,2,FALSE),"")</f>
        <v/>
      </c>
      <c r="M40" s="32" t="str">
        <f>_xlfn.IFNA(VLOOKUP($C40&amp;","&amp;M3,汇编指令!$C$2:$D$235,2,FALSE),"")</f>
        <v/>
      </c>
      <c r="N40" s="32" t="str">
        <f>_xlfn.IFNA(VLOOKUP($C40&amp;","&amp;N3,汇编指令!$C$2:$D$235,2,FALSE),"")</f>
        <v/>
      </c>
      <c r="O40" s="32" t="str">
        <f>_xlfn.IFNA(VLOOKUP($C40&amp;","&amp;O3,汇编指令!$C$2:$D$235,2,FALSE),"")</f>
        <v/>
      </c>
      <c r="P40" s="32" t="str">
        <f>_xlfn.IFNA(VLOOKUP($C40&amp;","&amp;P3,汇编指令!$C$2:$D$235,2,FALSE),"")</f>
        <v/>
      </c>
      <c r="Q40" s="32" t="str">
        <f>_xlfn.IFNA(VLOOKUP($C40&amp;","&amp;Q3,汇编指令!$C$2:$D$235,2,FALSE),"")</f>
        <v/>
      </c>
      <c r="R40" s="32" t="str">
        <f>_xlfn.IFNA(VLOOKUP($C40&amp;","&amp;R3,汇编指令!$C$2:$D$235,2,FALSE),"")</f>
        <v/>
      </c>
      <c r="S40" s="32" t="str">
        <f>_xlfn.IFNA(VLOOKUP($C40&amp;","&amp;S3,汇编指令!$C$2:$D$235,2,FALSE),"")</f>
        <v/>
      </c>
      <c r="T40" s="32" t="str">
        <f>_xlfn.IFNA(VLOOKUP($C40&amp;","&amp;T3,汇编指令!$C$2:$D$235,2,FALSE),"")</f>
        <v/>
      </c>
      <c r="U40" s="32" t="str">
        <f>_xlfn.IFNA(VLOOKUP($C40&amp;","&amp;U3,汇编指令!$C$2:$D$235,2,FALSE),"")</f>
        <v/>
      </c>
      <c r="V40" s="32" t="str">
        <f>_xlfn.IFNA(VLOOKUP($C40&amp;","&amp;V3,汇编指令!$C$2:$D$235,2,FALSE),"")</f>
        <v/>
      </c>
      <c r="W40" s="32" t="str">
        <f>_xlfn.IFNA(VLOOKUP($C40&amp;","&amp;W3,汇编指令!$C$2:$D$235,2,FALSE),"")</f>
        <v/>
      </c>
      <c r="X40" s="33" t="str">
        <f>_xlfn.IFNA(VLOOKUP($C40&amp;","&amp;X3,汇编指令!$C$2:$D$235,2,FALSE),"")</f>
        <v>40</v>
      </c>
      <c r="Y40" s="32" t="str">
        <f>_xlfn.IFNA(VLOOKUP($C40&amp;","&amp;Y3,汇编指令!$C$2:$D$235,2,FALSE),"")</f>
        <v/>
      </c>
      <c r="Z40" s="32" t="str">
        <f>_xlfn.IFNA(VLOOKUP($C40&amp;","&amp;Z3,汇编指令!$C$2:$D$235,2,FALSE),"")</f>
        <v/>
      </c>
      <c r="AA40" s="32" t="str">
        <f>_xlfn.IFNA(VLOOKUP($C40&amp;","&amp;AA3,汇编指令!$C$2:$D$235,2,FALSE),"")</f>
        <v/>
      </c>
      <c r="AB40" s="32" t="str">
        <f>_xlfn.IFNA(VLOOKUP($C40&amp;","&amp;AB3,汇编指令!$C$2:$D$235,2,FALSE),"")</f>
        <v/>
      </c>
    </row>
    <row r="41" ht="20" customHeight="1" spans="1:28">
      <c r="A41" s="16">
        <v>1</v>
      </c>
      <c r="B41" s="21">
        <f t="shared" si="1"/>
        <v>37</v>
      </c>
      <c r="C41" s="24" t="s">
        <v>956</v>
      </c>
      <c r="D41" s="23" t="str">
        <f t="shared" si="2"/>
        <v>25</v>
      </c>
      <c r="E41" s="34" t="str">
        <f>_xlfn.IFNA(VLOOKUP($C41&amp;","&amp;E3,汇编指令!$C$2:$D$235,2,FALSE),"")</f>
        <v/>
      </c>
      <c r="F41" s="32" t="str">
        <f>_xlfn.IFNA(VLOOKUP($C41&amp;","&amp;F3,汇编指令!$C$2:$D$235,2,FALSE),"")</f>
        <v/>
      </c>
      <c r="G41" s="32" t="str">
        <f>_xlfn.IFNA(VLOOKUP($C41&amp;","&amp;G3,汇编指令!$C$2:$D$235,2,FALSE),"")</f>
        <v/>
      </c>
      <c r="H41" s="32" t="str">
        <f>_xlfn.IFNA(VLOOKUP($C41&amp;","&amp;H3,汇编指令!$C$2:$D$235,2,FALSE),"")</f>
        <v/>
      </c>
      <c r="I41" s="32" t="str">
        <f>_xlfn.IFNA(VLOOKUP($C41&amp;","&amp;I3,汇编指令!$C$2:$D$235,2,FALSE),"")</f>
        <v/>
      </c>
      <c r="J41" s="32" t="str">
        <f>_xlfn.IFNA(VLOOKUP($C41&amp;","&amp;J3,汇编指令!$C$2:$D$235,2,FALSE),"")</f>
        <v/>
      </c>
      <c r="K41" s="32" t="str">
        <f>_xlfn.IFNA(VLOOKUP($C41&amp;","&amp;K3,汇编指令!$C$2:$D$235,2,FALSE),"")</f>
        <v/>
      </c>
      <c r="L41" s="32" t="str">
        <f>_xlfn.IFNA(VLOOKUP($C41&amp;","&amp;L3,汇编指令!$C$2:$D$235,2,FALSE),"")</f>
        <v/>
      </c>
      <c r="M41" s="32" t="str">
        <f>_xlfn.IFNA(VLOOKUP($C41&amp;","&amp;M3,汇编指令!$C$2:$D$235,2,FALSE),"")</f>
        <v/>
      </c>
      <c r="N41" s="32" t="str">
        <f>_xlfn.IFNA(VLOOKUP($C41&amp;","&amp;N3,汇编指令!$C$2:$D$235,2,FALSE),"")</f>
        <v/>
      </c>
      <c r="O41" s="32" t="str">
        <f>_xlfn.IFNA(VLOOKUP($C41&amp;","&amp;O3,汇编指令!$C$2:$D$235,2,FALSE),"")</f>
        <v/>
      </c>
      <c r="P41" s="32" t="str">
        <f>_xlfn.IFNA(VLOOKUP($C41&amp;","&amp;P3,汇编指令!$C$2:$D$235,2,FALSE),"")</f>
        <v/>
      </c>
      <c r="Q41" s="32" t="str">
        <f>_xlfn.IFNA(VLOOKUP($C41&amp;","&amp;Q3,汇编指令!$C$2:$D$235,2,FALSE),"")</f>
        <v/>
      </c>
      <c r="R41" s="32" t="str">
        <f>_xlfn.IFNA(VLOOKUP($C41&amp;","&amp;R3,汇编指令!$C$2:$D$235,2,FALSE),"")</f>
        <v/>
      </c>
      <c r="S41" s="32" t="str">
        <f>_xlfn.IFNA(VLOOKUP($C41&amp;","&amp;S3,汇编指令!$C$2:$D$235,2,FALSE),"")</f>
        <v/>
      </c>
      <c r="T41" s="32" t="str">
        <f>_xlfn.IFNA(VLOOKUP($C41&amp;","&amp;T3,汇编指令!$C$2:$D$235,2,FALSE),"")</f>
        <v/>
      </c>
      <c r="U41" s="33" t="str">
        <f>_xlfn.IFNA(VLOOKUP($C41&amp;","&amp;U3,汇编指令!$C$2:$D$235,2,FALSE),"")</f>
        <v>73</v>
      </c>
      <c r="V41" s="32" t="str">
        <f>_xlfn.IFNA(VLOOKUP($C41&amp;","&amp;V3,汇编指令!$C$2:$D$235,2,FALSE),"")</f>
        <v/>
      </c>
      <c r="W41" s="32" t="str">
        <f>_xlfn.IFNA(VLOOKUP($C41&amp;","&amp;W3,汇编指令!$C$2:$D$235,2,FALSE),"")</f>
        <v/>
      </c>
      <c r="X41" s="32" t="str">
        <f>_xlfn.IFNA(VLOOKUP($C41&amp;","&amp;X3,汇编指令!$C$2:$D$235,2,FALSE),"")</f>
        <v/>
      </c>
      <c r="Y41" s="32" t="str">
        <f>_xlfn.IFNA(VLOOKUP($C41&amp;","&amp;Y3,汇编指令!$C$2:$D$235,2,FALSE),"")</f>
        <v/>
      </c>
      <c r="Z41" s="32" t="str">
        <f>_xlfn.IFNA(VLOOKUP($C41&amp;","&amp;Z3,汇编指令!$C$2:$D$235,2,FALSE),"")</f>
        <v/>
      </c>
      <c r="AA41" s="32" t="str">
        <f>_xlfn.IFNA(VLOOKUP($C41&amp;","&amp;AA3,汇编指令!$C$2:$D$235,2,FALSE),"")</f>
        <v/>
      </c>
      <c r="AB41" s="32" t="str">
        <f>_xlfn.IFNA(VLOOKUP($C41&amp;","&amp;AB3,汇编指令!$C$2:$D$235,2,FALSE),"")</f>
        <v/>
      </c>
    </row>
    <row r="42" ht="20" customHeight="1" spans="1:28">
      <c r="A42" s="16">
        <v>1</v>
      </c>
      <c r="B42" s="21">
        <f t="shared" si="1"/>
        <v>38</v>
      </c>
      <c r="C42" s="24" t="s">
        <v>957</v>
      </c>
      <c r="D42" s="23" t="str">
        <f t="shared" si="2"/>
        <v>26</v>
      </c>
      <c r="E42" s="34" t="str">
        <f>_xlfn.IFNA(VLOOKUP($C42&amp;","&amp;E3,汇编指令!$C$2:$D$235,2,FALSE),"")</f>
        <v/>
      </c>
      <c r="F42" s="32" t="str">
        <f>_xlfn.IFNA(VLOOKUP($C42&amp;","&amp;F3,汇编指令!$C$2:$D$235,2,FALSE),"")</f>
        <v/>
      </c>
      <c r="G42" s="32" t="str">
        <f>_xlfn.IFNA(VLOOKUP($C42&amp;","&amp;G3,汇编指令!$C$2:$D$235,2,FALSE),"")</f>
        <v/>
      </c>
      <c r="H42" s="32" t="str">
        <f>_xlfn.IFNA(VLOOKUP($C42&amp;","&amp;H3,汇编指令!$C$2:$D$235,2,FALSE),"")</f>
        <v/>
      </c>
      <c r="I42" s="32" t="str">
        <f>_xlfn.IFNA(VLOOKUP($C42&amp;","&amp;I3,汇编指令!$C$2:$D$235,2,FALSE),"")</f>
        <v/>
      </c>
      <c r="J42" s="32" t="str">
        <f>_xlfn.IFNA(VLOOKUP($C42&amp;","&amp;J3,汇编指令!$C$2:$D$235,2,FALSE),"")</f>
        <v/>
      </c>
      <c r="K42" s="32" t="str">
        <f>_xlfn.IFNA(VLOOKUP($C42&amp;","&amp;K3,汇编指令!$C$2:$D$235,2,FALSE),"")</f>
        <v/>
      </c>
      <c r="L42" s="32" t="str">
        <f>_xlfn.IFNA(VLOOKUP($C42&amp;","&amp;L3,汇编指令!$C$2:$D$235,2,FALSE),"")</f>
        <v/>
      </c>
      <c r="M42" s="32" t="str">
        <f>_xlfn.IFNA(VLOOKUP($C42&amp;","&amp;M3,汇编指令!$C$2:$D$235,2,FALSE),"")</f>
        <v/>
      </c>
      <c r="N42" s="32" t="str">
        <f>_xlfn.IFNA(VLOOKUP($C42&amp;","&amp;N3,汇编指令!$C$2:$D$235,2,FALSE),"")</f>
        <v/>
      </c>
      <c r="O42" s="32" t="str">
        <f>_xlfn.IFNA(VLOOKUP($C42&amp;","&amp;O3,汇编指令!$C$2:$D$235,2,FALSE),"")</f>
        <v/>
      </c>
      <c r="P42" s="32" t="str">
        <f>_xlfn.IFNA(VLOOKUP($C42&amp;","&amp;P3,汇编指令!$C$2:$D$235,2,FALSE),"")</f>
        <v/>
      </c>
      <c r="Q42" s="32" t="str">
        <f>_xlfn.IFNA(VLOOKUP($C42&amp;","&amp;Q3,汇编指令!$C$2:$D$235,2,FALSE),"")</f>
        <v/>
      </c>
      <c r="R42" s="32" t="str">
        <f>_xlfn.IFNA(VLOOKUP($C42&amp;","&amp;R3,汇编指令!$C$2:$D$235,2,FALSE),"")</f>
        <v/>
      </c>
      <c r="S42" s="32" t="str">
        <f>_xlfn.IFNA(VLOOKUP($C42&amp;","&amp;S3,汇编指令!$C$2:$D$235,2,FALSE),"")</f>
        <v/>
      </c>
      <c r="T42" s="32" t="str">
        <f>_xlfn.IFNA(VLOOKUP($C42&amp;","&amp;T3,汇编指令!$C$2:$D$235,2,FALSE),"")</f>
        <v/>
      </c>
      <c r="U42" s="32" t="str">
        <f>_xlfn.IFNA(VLOOKUP($C42&amp;","&amp;U3,汇编指令!$C$2:$D$235,2,FALSE),"")</f>
        <v/>
      </c>
      <c r="V42" s="32" t="str">
        <f>_xlfn.IFNA(VLOOKUP($C42&amp;","&amp;V3,汇编指令!$C$2:$D$235,2,FALSE),"")</f>
        <v/>
      </c>
      <c r="W42" s="32" t="str">
        <f>_xlfn.IFNA(VLOOKUP($C42&amp;","&amp;W3,汇编指令!$C$2:$D$235,2,FALSE),"")</f>
        <v/>
      </c>
      <c r="X42" s="33" t="str">
        <f>_xlfn.IFNA(VLOOKUP($C42&amp;","&amp;X3,汇编指令!$C$2:$D$235,2,FALSE),"")</f>
        <v>50</v>
      </c>
      <c r="Y42" s="32" t="str">
        <f>_xlfn.IFNA(VLOOKUP($C42&amp;","&amp;Y3,汇编指令!$C$2:$D$235,2,FALSE),"")</f>
        <v/>
      </c>
      <c r="Z42" s="32" t="str">
        <f>_xlfn.IFNA(VLOOKUP($C42&amp;","&amp;Z3,汇编指令!$C$2:$D$235,2,FALSE),"")</f>
        <v/>
      </c>
      <c r="AA42" s="32" t="str">
        <f>_xlfn.IFNA(VLOOKUP($C42&amp;","&amp;AA3,汇编指令!$C$2:$D$235,2,FALSE),"")</f>
        <v/>
      </c>
      <c r="AB42" s="32" t="str">
        <f>_xlfn.IFNA(VLOOKUP($C42&amp;","&amp;AB3,汇编指令!$C$2:$D$235,2,FALSE),"")</f>
        <v/>
      </c>
    </row>
    <row r="43" ht="20" customHeight="1" spans="1:28">
      <c r="A43" s="16">
        <v>1</v>
      </c>
      <c r="B43" s="21">
        <f t="shared" si="1"/>
        <v>39</v>
      </c>
      <c r="C43" s="24" t="s">
        <v>958</v>
      </c>
      <c r="D43" s="23" t="str">
        <f t="shared" si="2"/>
        <v>27</v>
      </c>
      <c r="E43" s="34" t="str">
        <f>_xlfn.IFNA(VLOOKUP($C43&amp;","&amp;E3,汇编指令!$C$2:$D$235,2,FALSE),"")</f>
        <v/>
      </c>
      <c r="F43" s="32" t="str">
        <f>_xlfn.IFNA(VLOOKUP($C43&amp;","&amp;F3,汇编指令!$C$2:$D$235,2,FALSE),"")</f>
        <v/>
      </c>
      <c r="G43" s="32" t="str">
        <f>_xlfn.IFNA(VLOOKUP($C43&amp;","&amp;G3,汇编指令!$C$2:$D$235,2,FALSE),"")</f>
        <v/>
      </c>
      <c r="H43" s="32" t="str">
        <f>_xlfn.IFNA(VLOOKUP($C43&amp;","&amp;H3,汇编指令!$C$2:$D$235,2,FALSE),"")</f>
        <v/>
      </c>
      <c r="I43" s="32" t="str">
        <f>_xlfn.IFNA(VLOOKUP($C43&amp;","&amp;I3,汇编指令!$C$2:$D$235,2,FALSE),"")</f>
        <v/>
      </c>
      <c r="J43" s="32" t="str">
        <f>_xlfn.IFNA(VLOOKUP($C43&amp;","&amp;J3,汇编指令!$C$2:$D$235,2,FALSE),"")</f>
        <v/>
      </c>
      <c r="K43" s="32" t="str">
        <f>_xlfn.IFNA(VLOOKUP($C43&amp;","&amp;K3,汇编指令!$C$2:$D$235,2,FALSE),"")</f>
        <v/>
      </c>
      <c r="L43" s="32" t="str">
        <f>_xlfn.IFNA(VLOOKUP($C43&amp;","&amp;L3,汇编指令!$C$2:$D$235,2,FALSE),"")</f>
        <v/>
      </c>
      <c r="M43" s="32" t="str">
        <f>_xlfn.IFNA(VLOOKUP($C43&amp;","&amp;M3,汇编指令!$C$2:$D$235,2,FALSE),"")</f>
        <v/>
      </c>
      <c r="N43" s="32" t="str">
        <f>_xlfn.IFNA(VLOOKUP($C43&amp;","&amp;N3,汇编指令!$C$2:$D$235,2,FALSE),"")</f>
        <v/>
      </c>
      <c r="O43" s="32" t="str">
        <f>_xlfn.IFNA(VLOOKUP($C43&amp;","&amp;O3,汇编指令!$C$2:$D$235,2,FALSE),"")</f>
        <v/>
      </c>
      <c r="P43" s="32" t="str">
        <f>_xlfn.IFNA(VLOOKUP($C43&amp;","&amp;P3,汇编指令!$C$2:$D$235,2,FALSE),"")</f>
        <v/>
      </c>
      <c r="Q43" s="32" t="str">
        <f>_xlfn.IFNA(VLOOKUP($C43&amp;","&amp;Q3,汇编指令!$C$2:$D$235,2,FALSE),"")</f>
        <v/>
      </c>
      <c r="R43" s="32" t="str">
        <f>_xlfn.IFNA(VLOOKUP($C43&amp;","&amp;R3,汇编指令!$C$2:$D$235,2,FALSE),"")</f>
        <v/>
      </c>
      <c r="S43" s="32" t="str">
        <f>_xlfn.IFNA(VLOOKUP($C43&amp;","&amp;S3,汇编指令!$C$2:$D$235,2,FALSE),"")</f>
        <v/>
      </c>
      <c r="T43" s="32" t="str">
        <f>_xlfn.IFNA(VLOOKUP($C43&amp;","&amp;T3,汇编指令!$C$2:$D$235,2,FALSE),"")</f>
        <v/>
      </c>
      <c r="U43" s="32" t="str">
        <f>_xlfn.IFNA(VLOOKUP($C43&amp;","&amp;U3,汇编指令!$C$2:$D$235,2,FALSE),"")</f>
        <v/>
      </c>
      <c r="V43" s="32" t="str">
        <f>_xlfn.IFNA(VLOOKUP($C43&amp;","&amp;V3,汇编指令!$C$2:$D$235,2,FALSE),"")</f>
        <v/>
      </c>
      <c r="W43" s="32" t="str">
        <f>_xlfn.IFNA(VLOOKUP($C43&amp;","&amp;W3,汇编指令!$C$2:$D$235,2,FALSE),"")</f>
        <v/>
      </c>
      <c r="X43" s="33" t="str">
        <f>_xlfn.IFNA(VLOOKUP($C43&amp;","&amp;X3,汇编指令!$C$2:$D$235,2,FALSE),"")</f>
        <v>70</v>
      </c>
      <c r="Y43" s="32" t="str">
        <f>_xlfn.IFNA(VLOOKUP($C43&amp;","&amp;Y3,汇编指令!$C$2:$D$235,2,FALSE),"")</f>
        <v/>
      </c>
      <c r="Z43" s="32" t="str">
        <f>_xlfn.IFNA(VLOOKUP($C43&amp;","&amp;Z3,汇编指令!$C$2:$D$235,2,FALSE),"")</f>
        <v/>
      </c>
      <c r="AA43" s="32" t="str">
        <f>_xlfn.IFNA(VLOOKUP($C43&amp;","&amp;AA3,汇编指令!$C$2:$D$235,2,FALSE),"")</f>
        <v/>
      </c>
      <c r="AB43" s="32" t="str">
        <f>_xlfn.IFNA(VLOOKUP($C43&amp;","&amp;AB3,汇编指令!$C$2:$D$235,2,FALSE),"")</f>
        <v/>
      </c>
    </row>
    <row r="44" ht="20" customHeight="1" spans="1:28">
      <c r="A44" s="16">
        <v>1</v>
      </c>
      <c r="B44" s="21">
        <f t="shared" si="1"/>
        <v>40</v>
      </c>
      <c r="C44" s="24" t="s">
        <v>959</v>
      </c>
      <c r="D44" s="23" t="str">
        <f t="shared" si="2"/>
        <v>28</v>
      </c>
      <c r="E44" s="34" t="str">
        <f>_xlfn.IFNA(VLOOKUP($C44&amp;","&amp;E3,汇编指令!$C$2:$D$235,2,FALSE),"")</f>
        <v/>
      </c>
      <c r="F44" s="32" t="str">
        <f>_xlfn.IFNA(VLOOKUP($C44&amp;","&amp;F3,汇编指令!$C$2:$D$235,2,FALSE),"")</f>
        <v/>
      </c>
      <c r="G44" s="32" t="str">
        <f>_xlfn.IFNA(VLOOKUP($C44&amp;","&amp;G3,汇编指令!$C$2:$D$235,2,FALSE),"")</f>
        <v/>
      </c>
      <c r="H44" s="32" t="str">
        <f>_xlfn.IFNA(VLOOKUP($C44&amp;","&amp;H3,汇编指令!$C$2:$D$235,2,FALSE),"")</f>
        <v/>
      </c>
      <c r="I44" s="32" t="str">
        <f>_xlfn.IFNA(VLOOKUP($C44&amp;","&amp;I3,汇编指令!$C$2:$D$235,2,FALSE),"")</f>
        <v/>
      </c>
      <c r="J44" s="32" t="str">
        <f>_xlfn.IFNA(VLOOKUP($C44&amp;","&amp;J3,汇编指令!$C$2:$D$235,2,FALSE),"")</f>
        <v/>
      </c>
      <c r="K44" s="32" t="str">
        <f>_xlfn.IFNA(VLOOKUP($C44&amp;","&amp;K3,汇编指令!$C$2:$D$235,2,FALSE),"")</f>
        <v/>
      </c>
      <c r="L44" s="32" t="str">
        <f>_xlfn.IFNA(VLOOKUP($C44&amp;","&amp;L3,汇编指令!$C$2:$D$235,2,FALSE),"")</f>
        <v/>
      </c>
      <c r="M44" s="32" t="str">
        <f>_xlfn.IFNA(VLOOKUP($C44&amp;","&amp;M3,汇编指令!$C$2:$D$235,2,FALSE),"")</f>
        <v/>
      </c>
      <c r="N44" s="32" t="str">
        <f>_xlfn.IFNA(VLOOKUP($C44&amp;","&amp;N3,汇编指令!$C$2:$D$235,2,FALSE),"")</f>
        <v/>
      </c>
      <c r="O44" s="32" t="str">
        <f>_xlfn.IFNA(VLOOKUP($C44&amp;","&amp;O3,汇编指令!$C$2:$D$235,2,FALSE),"")</f>
        <v/>
      </c>
      <c r="P44" s="32" t="str">
        <f>_xlfn.IFNA(VLOOKUP($C44&amp;","&amp;P3,汇编指令!$C$2:$D$235,2,FALSE),"")</f>
        <v/>
      </c>
      <c r="Q44" s="32" t="str">
        <f>_xlfn.IFNA(VLOOKUP($C44&amp;","&amp;Q3,汇编指令!$C$2:$D$235,2,FALSE),"")</f>
        <v/>
      </c>
      <c r="R44" s="32" t="str">
        <f>_xlfn.IFNA(VLOOKUP($C44&amp;","&amp;R3,汇编指令!$C$2:$D$235,2,FALSE),"")</f>
        <v/>
      </c>
      <c r="S44" s="32" t="str">
        <f>_xlfn.IFNA(VLOOKUP($C44&amp;","&amp;S3,汇编指令!$C$2:$D$235,2,FALSE),"")</f>
        <v/>
      </c>
      <c r="T44" s="32" t="str">
        <f>_xlfn.IFNA(VLOOKUP($C44&amp;","&amp;T3,汇编指令!$C$2:$D$235,2,FALSE),"")</f>
        <v/>
      </c>
      <c r="U44" s="32" t="str">
        <f>_xlfn.IFNA(VLOOKUP($C44&amp;","&amp;U3,汇编指令!$C$2:$D$235,2,FALSE),"")</f>
        <v/>
      </c>
      <c r="V44" s="32" t="str">
        <f>_xlfn.IFNA(VLOOKUP($C44&amp;","&amp;V3,汇编指令!$C$2:$D$235,2,FALSE),"")</f>
        <v/>
      </c>
      <c r="W44" s="32" t="str">
        <f>_xlfn.IFNA(VLOOKUP($C44&amp;","&amp;W3,汇编指令!$C$2:$D$235,2,FALSE),"")</f>
        <v/>
      </c>
      <c r="X44" s="33" t="str">
        <f>_xlfn.IFNA(VLOOKUP($C44&amp;","&amp;X3,汇编指令!$C$2:$D$235,2,FALSE),"")</f>
        <v>60</v>
      </c>
      <c r="Y44" s="32" t="str">
        <f>_xlfn.IFNA(VLOOKUP($C44&amp;","&amp;Y3,汇编指令!$C$2:$D$235,2,FALSE),"")</f>
        <v/>
      </c>
      <c r="Z44" s="32" t="str">
        <f>_xlfn.IFNA(VLOOKUP($C44&amp;","&amp;Z3,汇编指令!$C$2:$D$235,2,FALSE),"")</f>
        <v/>
      </c>
      <c r="AA44" s="32" t="str">
        <f>_xlfn.IFNA(VLOOKUP($C44&amp;","&amp;AA3,汇编指令!$C$2:$D$235,2,FALSE),"")</f>
        <v/>
      </c>
      <c r="AB44" s="32" t="str">
        <f>_xlfn.IFNA(VLOOKUP($C44&amp;","&amp;AB3,汇编指令!$C$2:$D$235,2,FALSE),"")</f>
        <v/>
      </c>
    </row>
    <row r="45" ht="20" customHeight="1" spans="1:28">
      <c r="A45" s="16">
        <v>1</v>
      </c>
      <c r="B45" s="21">
        <f t="shared" si="1"/>
        <v>41</v>
      </c>
      <c r="C45" s="24" t="s">
        <v>960</v>
      </c>
      <c r="D45" s="23" t="str">
        <f t="shared" si="2"/>
        <v>29</v>
      </c>
      <c r="E45" s="34" t="str">
        <f>_xlfn.IFNA(VLOOKUP($C45&amp;","&amp;E3,汇编指令!$C$2:$D$235,2,FALSE),"")</f>
        <v/>
      </c>
      <c r="F45" s="32" t="str">
        <f>_xlfn.IFNA(VLOOKUP($C45&amp;","&amp;F3,汇编指令!$C$2:$D$235,2,FALSE),"")</f>
        <v/>
      </c>
      <c r="G45" s="32" t="str">
        <f>_xlfn.IFNA(VLOOKUP($C45&amp;","&amp;G3,汇编指令!$C$2:$D$235,2,FALSE),"")</f>
        <v/>
      </c>
      <c r="H45" s="32" t="str">
        <f>_xlfn.IFNA(VLOOKUP($C45&amp;","&amp;H3,汇编指令!$C$2:$D$235,2,FALSE),"")</f>
        <v/>
      </c>
      <c r="I45" s="32" t="str">
        <f>_xlfn.IFNA(VLOOKUP($C45&amp;","&amp;I3,汇编指令!$C$2:$D$235,2,FALSE),"")</f>
        <v/>
      </c>
      <c r="J45" s="32" t="str">
        <f>_xlfn.IFNA(VLOOKUP($C45&amp;","&amp;J3,汇编指令!$C$2:$D$235,2,FALSE),"")</f>
        <v/>
      </c>
      <c r="K45" s="32" t="str">
        <f>_xlfn.IFNA(VLOOKUP($C45&amp;","&amp;K3,汇编指令!$C$2:$D$235,2,FALSE),"")</f>
        <v/>
      </c>
      <c r="L45" s="32" t="str">
        <f>_xlfn.IFNA(VLOOKUP($C45&amp;","&amp;L3,汇编指令!$C$2:$D$235,2,FALSE),"")</f>
        <v/>
      </c>
      <c r="M45" s="32" t="str">
        <f>_xlfn.IFNA(VLOOKUP($C45&amp;","&amp;M3,汇编指令!$C$2:$D$235,2,FALSE),"")</f>
        <v/>
      </c>
      <c r="N45" s="32" t="str">
        <f>_xlfn.IFNA(VLOOKUP($C45&amp;","&amp;N3,汇编指令!$C$2:$D$235,2,FALSE),"")</f>
        <v/>
      </c>
      <c r="O45" s="32" t="str">
        <f>_xlfn.IFNA(VLOOKUP($C45&amp;","&amp;O3,汇编指令!$C$2:$D$235,2,FALSE),"")</f>
        <v/>
      </c>
      <c r="P45" s="32" t="str">
        <f>_xlfn.IFNA(VLOOKUP($C45&amp;","&amp;P3,汇编指令!$C$2:$D$235,2,FALSE),"")</f>
        <v/>
      </c>
      <c r="Q45" s="32" t="str">
        <f>_xlfn.IFNA(VLOOKUP($C45&amp;","&amp;Q3,汇编指令!$C$2:$D$235,2,FALSE),"")</f>
        <v/>
      </c>
      <c r="R45" s="32" t="str">
        <f>_xlfn.IFNA(VLOOKUP($C45&amp;","&amp;R3,汇编指令!$C$2:$D$235,2,FALSE),"")</f>
        <v/>
      </c>
      <c r="S45" s="32" t="str">
        <f>_xlfn.IFNA(VLOOKUP($C45&amp;","&amp;S3,汇编指令!$C$2:$D$235,2,FALSE),"")</f>
        <v/>
      </c>
      <c r="T45" s="32" t="str">
        <f>_xlfn.IFNA(VLOOKUP($C45&amp;","&amp;T3,汇编指令!$C$2:$D$235,2,FALSE),"")</f>
        <v/>
      </c>
      <c r="U45" s="32" t="str">
        <f>_xlfn.IFNA(VLOOKUP($C45&amp;","&amp;U3,汇编指令!$C$2:$D$235,2,FALSE),"")</f>
        <v/>
      </c>
      <c r="V45" s="32" t="str">
        <f>_xlfn.IFNA(VLOOKUP($C45&amp;","&amp;V3,汇编指令!$C$2:$D$235,2,FALSE),"")</f>
        <v/>
      </c>
      <c r="W45" s="33" t="str">
        <f>_xlfn.IFNA(VLOOKUP($C45&amp;","&amp;W3,汇编指令!$C$2:$D$235,2,FALSE),"")</f>
        <v>12</v>
      </c>
      <c r="X45" s="32" t="str">
        <f>_xlfn.IFNA(VLOOKUP($C45&amp;","&amp;X3,汇编指令!$C$2:$D$235,2,FALSE),"")</f>
        <v/>
      </c>
      <c r="Y45" s="32" t="str">
        <f>_xlfn.IFNA(VLOOKUP($C45&amp;","&amp;Y3,汇编指令!$C$2:$D$235,2,FALSE),"")</f>
        <v/>
      </c>
      <c r="Z45" s="32" t="str">
        <f>_xlfn.IFNA(VLOOKUP($C45&amp;","&amp;Z3,汇编指令!$C$2:$D$235,2,FALSE),"")</f>
        <v/>
      </c>
      <c r="AA45" s="32" t="str">
        <f>_xlfn.IFNA(VLOOKUP($C45&amp;","&amp;AA3,汇编指令!$C$2:$D$235,2,FALSE),"")</f>
        <v/>
      </c>
      <c r="AB45" s="32" t="str">
        <f>_xlfn.IFNA(VLOOKUP($C45&amp;","&amp;AB3,汇编指令!$C$2:$D$235,2,FALSE),"")</f>
        <v/>
      </c>
    </row>
    <row r="46" ht="20" customHeight="1" spans="1:28">
      <c r="A46" s="16">
        <v>1</v>
      </c>
      <c r="B46" s="21">
        <f t="shared" si="1"/>
        <v>42</v>
      </c>
      <c r="C46" s="24" t="s">
        <v>961</v>
      </c>
      <c r="D46" s="23" t="str">
        <f t="shared" si="2"/>
        <v>2A</v>
      </c>
      <c r="E46" s="34" t="str">
        <f>_xlfn.IFNA(VLOOKUP($C46&amp;","&amp;E3,汇编指令!$C$2:$D$235,2,FALSE),"")</f>
        <v/>
      </c>
      <c r="F46" s="32" t="str">
        <f>_xlfn.IFNA(VLOOKUP($C46&amp;","&amp;F3,汇编指令!$C$2:$D$235,2,FALSE),"")</f>
        <v/>
      </c>
      <c r="G46" s="32" t="str">
        <f>_xlfn.IFNA(VLOOKUP($C46&amp;","&amp;G3,汇编指令!$C$2:$D$235,2,FALSE),"")</f>
        <v/>
      </c>
      <c r="H46" s="32" t="str">
        <f>_xlfn.IFNA(VLOOKUP($C46&amp;","&amp;H3,汇编指令!$C$2:$D$235,2,FALSE),"")</f>
        <v/>
      </c>
      <c r="I46" s="32" t="str">
        <f>_xlfn.IFNA(VLOOKUP($C46&amp;","&amp;I3,汇编指令!$C$2:$D$235,2,FALSE),"")</f>
        <v/>
      </c>
      <c r="J46" s="32" t="str">
        <f>_xlfn.IFNA(VLOOKUP($C46&amp;","&amp;J3,汇编指令!$C$2:$D$235,2,FALSE),"")</f>
        <v/>
      </c>
      <c r="K46" s="32" t="str">
        <f>_xlfn.IFNA(VLOOKUP($C46&amp;","&amp;K3,汇编指令!$C$2:$D$235,2,FALSE),"")</f>
        <v/>
      </c>
      <c r="L46" s="32" t="str">
        <f>_xlfn.IFNA(VLOOKUP($C46&amp;","&amp;L3,汇编指令!$C$2:$D$235,2,FALSE),"")</f>
        <v/>
      </c>
      <c r="M46" s="32" t="str">
        <f>_xlfn.IFNA(VLOOKUP($C46&amp;","&amp;M3,汇编指令!$C$2:$D$235,2,FALSE),"")</f>
        <v/>
      </c>
      <c r="N46" s="32" t="str">
        <f>_xlfn.IFNA(VLOOKUP($C46&amp;","&amp;N3,汇编指令!$C$2:$D$235,2,FALSE),"")</f>
        <v/>
      </c>
      <c r="O46" s="32" t="str">
        <f>_xlfn.IFNA(VLOOKUP($C46&amp;","&amp;O3,汇编指令!$C$2:$D$235,2,FALSE),"")</f>
        <v/>
      </c>
      <c r="P46" s="32" t="str">
        <f>_xlfn.IFNA(VLOOKUP($C46&amp;","&amp;P3,汇编指令!$C$2:$D$235,2,FALSE),"")</f>
        <v/>
      </c>
      <c r="Q46" s="32" t="str">
        <f>_xlfn.IFNA(VLOOKUP($C46&amp;","&amp;Q3,汇编指令!$C$2:$D$235,2,FALSE),"")</f>
        <v/>
      </c>
      <c r="R46" s="32" t="str">
        <f>_xlfn.IFNA(VLOOKUP($C46&amp;","&amp;R3,汇编指令!$C$2:$D$235,2,FALSE),"")</f>
        <v/>
      </c>
      <c r="S46" s="32" t="str">
        <f>_xlfn.IFNA(VLOOKUP($C46&amp;","&amp;S3,汇编指令!$C$2:$D$235,2,FALSE),"")</f>
        <v/>
      </c>
      <c r="T46" s="32" t="str">
        <f>_xlfn.IFNA(VLOOKUP($C46&amp;","&amp;T3,汇编指令!$C$2:$D$235,2,FALSE),"")</f>
        <v/>
      </c>
      <c r="U46" s="32" t="str">
        <f>_xlfn.IFNA(VLOOKUP($C46&amp;","&amp;U3,汇编指令!$C$2:$D$235,2,FALSE),"")</f>
        <v/>
      </c>
      <c r="V46" s="32" t="str">
        <f>_xlfn.IFNA(VLOOKUP($C46&amp;","&amp;V3,汇编指令!$C$2:$D$235,2,FALSE),"")</f>
        <v/>
      </c>
      <c r="W46" s="33" t="str">
        <f>_xlfn.IFNA(VLOOKUP($C46&amp;","&amp;W3,汇编指令!$C$2:$D$235,2,FALSE),"")</f>
        <v>2</v>
      </c>
      <c r="X46" s="32" t="str">
        <f>_xlfn.IFNA(VLOOKUP($C46&amp;","&amp;X3,汇编指令!$C$2:$D$235,2,FALSE),"")</f>
        <v/>
      </c>
      <c r="Y46" s="32" t="str">
        <f>_xlfn.IFNA(VLOOKUP($C46&amp;","&amp;Y3,汇编指令!$C$2:$D$235,2,FALSE),"")</f>
        <v/>
      </c>
      <c r="Z46" s="32" t="str">
        <f>_xlfn.IFNA(VLOOKUP($C46&amp;","&amp;Z3,汇编指令!$C$2:$D$235,2,FALSE),"")</f>
        <v/>
      </c>
      <c r="AA46" s="32" t="str">
        <f>_xlfn.IFNA(VLOOKUP($C46&amp;","&amp;AA3,汇编指令!$C$2:$D$235,2,FALSE),"")</f>
        <v/>
      </c>
      <c r="AB46" s="32" t="str">
        <f>_xlfn.IFNA(VLOOKUP($C46&amp;","&amp;AB3,汇编指令!$C$2:$D$235,2,FALSE),"")</f>
        <v/>
      </c>
    </row>
    <row r="47" ht="20" customHeight="1" spans="1:28">
      <c r="A47" s="16">
        <v>1</v>
      </c>
      <c r="B47" s="21">
        <f t="shared" si="1"/>
        <v>43</v>
      </c>
      <c r="C47" s="24" t="s">
        <v>962</v>
      </c>
      <c r="D47" s="23" t="str">
        <f t="shared" si="2"/>
        <v>2B</v>
      </c>
      <c r="E47" s="34" t="str">
        <f>_xlfn.IFNA(VLOOKUP($C47&amp;","&amp;E3,汇编指令!$C$2:$D$235,2,FALSE),"")</f>
        <v/>
      </c>
      <c r="F47" s="32" t="str">
        <f>_xlfn.IFNA(VLOOKUP($C47&amp;","&amp;F3,汇编指令!$C$2:$D$235,2,FALSE),"")</f>
        <v/>
      </c>
      <c r="G47" s="32" t="str">
        <f>_xlfn.IFNA(VLOOKUP($C47&amp;","&amp;G3,汇编指令!$C$2:$D$235,2,FALSE),"")</f>
        <v/>
      </c>
      <c r="H47" s="32" t="str">
        <f>_xlfn.IFNA(VLOOKUP($C47&amp;","&amp;H3,汇编指令!$C$2:$D$235,2,FALSE),"")</f>
        <v/>
      </c>
      <c r="I47" s="32" t="str">
        <f>_xlfn.IFNA(VLOOKUP($C47&amp;","&amp;I3,汇编指令!$C$2:$D$235,2,FALSE),"")</f>
        <v/>
      </c>
      <c r="J47" s="32" t="str">
        <f>_xlfn.IFNA(VLOOKUP($C47&amp;","&amp;J3,汇编指令!$C$2:$D$235,2,FALSE),"")</f>
        <v/>
      </c>
      <c r="K47" s="32" t="str">
        <f>_xlfn.IFNA(VLOOKUP($C47&amp;","&amp;K3,汇编指令!$C$2:$D$235,2,FALSE),"")</f>
        <v/>
      </c>
      <c r="L47" s="32" t="str">
        <f>_xlfn.IFNA(VLOOKUP($C47&amp;","&amp;L3,汇编指令!$C$2:$D$235,2,FALSE),"")</f>
        <v/>
      </c>
      <c r="M47" s="32" t="str">
        <f>_xlfn.IFNA(VLOOKUP($C47&amp;","&amp;M3,汇编指令!$C$2:$D$235,2,FALSE),"")</f>
        <v/>
      </c>
      <c r="N47" s="32" t="str">
        <f>_xlfn.IFNA(VLOOKUP($C47&amp;","&amp;N3,汇编指令!$C$2:$D$235,2,FALSE),"")</f>
        <v/>
      </c>
      <c r="O47" s="32" t="str">
        <f>_xlfn.IFNA(VLOOKUP($C47&amp;","&amp;O3,汇编指令!$C$2:$D$235,2,FALSE),"")</f>
        <v/>
      </c>
      <c r="P47" s="32" t="str">
        <f>_xlfn.IFNA(VLOOKUP($C47&amp;","&amp;P3,汇编指令!$C$2:$D$235,2,FALSE),"")</f>
        <v/>
      </c>
      <c r="Q47" s="32" t="str">
        <f>_xlfn.IFNA(VLOOKUP($C47&amp;","&amp;Q3,汇编指令!$C$2:$D$235,2,FALSE),"")</f>
        <v/>
      </c>
      <c r="R47" s="32" t="str">
        <f>_xlfn.IFNA(VLOOKUP($C47&amp;","&amp;R3,汇编指令!$C$2:$D$235,2,FALSE),"")</f>
        <v/>
      </c>
      <c r="S47" s="32" t="str">
        <f>_xlfn.IFNA(VLOOKUP($C47&amp;","&amp;S3,汇编指令!$C$2:$D$235,2,FALSE),"")</f>
        <v/>
      </c>
      <c r="T47" s="32" t="str">
        <f>_xlfn.IFNA(VLOOKUP($C47&amp;","&amp;T3,汇编指令!$C$2:$D$235,2,FALSE),"")</f>
        <v/>
      </c>
      <c r="U47" s="32" t="str">
        <f>_xlfn.IFNA(VLOOKUP($C47&amp;","&amp;U3,汇编指令!$C$2:$D$235,2,FALSE),"")</f>
        <v/>
      </c>
      <c r="V47" s="32" t="str">
        <f>_xlfn.IFNA(VLOOKUP($C47&amp;","&amp;V3,汇编指令!$C$2:$D$235,2,FALSE),"")</f>
        <v/>
      </c>
      <c r="W47" s="32" t="str">
        <f>_xlfn.IFNA(VLOOKUP($C47&amp;","&amp;W3,汇编指令!$C$2:$D$235,2,FALSE),"")</f>
        <v/>
      </c>
      <c r="X47" s="32" t="str">
        <f>_xlfn.IFNA(VLOOKUP($C47&amp;","&amp;X3,汇编指令!$C$2:$D$235,2,FALSE),"")</f>
        <v/>
      </c>
      <c r="Y47" s="32" t="str">
        <f>_xlfn.IFNA(VLOOKUP($C47&amp;","&amp;Y3,汇编指令!$C$2:$D$235,2,FALSE),"")</f>
        <v/>
      </c>
      <c r="Z47" s="32" t="str">
        <f>_xlfn.IFNA(VLOOKUP($C47&amp;","&amp;Z3,汇编指令!$C$2:$D$235,2,FALSE),"")</f>
        <v/>
      </c>
      <c r="AA47" s="33" t="str">
        <f>_xlfn.IFNA(VLOOKUP($C47&amp;","&amp;AA3,汇编指令!$C$2:$D$235,2,FALSE),"")</f>
        <v>A4</v>
      </c>
      <c r="AB47" s="33" t="str">
        <f>_xlfn.IFNA(VLOOKUP($C47&amp;","&amp;AB3,汇编指令!$C$2:$D$235,2,FALSE),"")</f>
        <v/>
      </c>
    </row>
    <row r="48" ht="20" customHeight="1" spans="1:28">
      <c r="A48" s="16">
        <v>1</v>
      </c>
      <c r="B48" s="21">
        <f t="shared" si="1"/>
        <v>44</v>
      </c>
      <c r="C48" s="24" t="s">
        <v>963</v>
      </c>
      <c r="D48" s="23" t="str">
        <f t="shared" si="2"/>
        <v>2C</v>
      </c>
      <c r="E48" s="34" t="str">
        <f>_xlfn.IFNA(VLOOKUP($C48&amp;","&amp;E3,汇编指令!$C$2:$D$235,2,FALSE),"")</f>
        <v/>
      </c>
      <c r="F48" s="32" t="str">
        <f>_xlfn.IFNA(VLOOKUP($C48&amp;","&amp;F3,汇编指令!$C$2:$D$235,2,FALSE),"")</f>
        <v/>
      </c>
      <c r="G48" s="32" t="str">
        <f>_xlfn.IFNA(VLOOKUP($C48&amp;","&amp;G3,汇编指令!$C$2:$D$235,2,FALSE),"")</f>
        <v/>
      </c>
      <c r="H48" s="32" t="str">
        <f>_xlfn.IFNA(VLOOKUP($C48&amp;","&amp;H3,汇编指令!$C$2:$D$235,2,FALSE),"")</f>
        <v/>
      </c>
      <c r="I48" s="32" t="str">
        <f>_xlfn.IFNA(VLOOKUP($C48&amp;","&amp;I3,汇编指令!$C$2:$D$235,2,FALSE),"")</f>
        <v/>
      </c>
      <c r="J48" s="32" t="str">
        <f>_xlfn.IFNA(VLOOKUP($C48&amp;","&amp;J3,汇编指令!$C$2:$D$235,2,FALSE),"")</f>
        <v/>
      </c>
      <c r="K48" s="32" t="str">
        <f>_xlfn.IFNA(VLOOKUP($C48&amp;","&amp;K3,汇编指令!$C$2:$D$235,2,FALSE),"")</f>
        <v/>
      </c>
      <c r="L48" s="32" t="str">
        <f>_xlfn.IFNA(VLOOKUP($C48&amp;","&amp;L3,汇编指令!$C$2:$D$235,2,FALSE),"")</f>
        <v/>
      </c>
      <c r="M48" s="32" t="str">
        <f>_xlfn.IFNA(VLOOKUP($C48&amp;","&amp;M3,汇编指令!$C$2:$D$235,2,FALSE),"")</f>
        <v/>
      </c>
      <c r="N48" s="32" t="str">
        <f>_xlfn.IFNA(VLOOKUP($C48&amp;","&amp;N3,汇编指令!$C$2:$D$235,2,FALSE),"")</f>
        <v/>
      </c>
      <c r="O48" s="33" t="str">
        <f>_xlfn.IFNA(VLOOKUP($C48&amp;","&amp;O3,汇编指令!$C$2:$D$235,2,FALSE),"")</f>
        <v>D0</v>
      </c>
      <c r="P48" s="32" t="str">
        <f>_xlfn.IFNA(VLOOKUP($C48&amp;","&amp;P3,汇编指令!$C$2:$D$235,2,FALSE),"")</f>
        <v/>
      </c>
      <c r="Q48" s="32" t="str">
        <f>_xlfn.IFNA(VLOOKUP($C48&amp;","&amp;Q3,汇编指令!$C$2:$D$235,2,FALSE),"")</f>
        <v/>
      </c>
      <c r="R48" s="32" t="str">
        <f>_xlfn.IFNA(VLOOKUP($C48&amp;","&amp;R3,汇编指令!$C$2:$D$235,2,FALSE),"")</f>
        <v/>
      </c>
      <c r="S48" s="32" t="str">
        <f>_xlfn.IFNA(VLOOKUP($C48&amp;","&amp;S3,汇编指令!$C$2:$D$235,2,FALSE),"")</f>
        <v/>
      </c>
      <c r="T48" s="32" t="str">
        <f>_xlfn.IFNA(VLOOKUP($C48&amp;","&amp;T3,汇编指令!$C$2:$D$235,2,FALSE),"")</f>
        <v/>
      </c>
      <c r="U48" s="32" t="str">
        <f>_xlfn.IFNA(VLOOKUP($C48&amp;","&amp;U3,汇编指令!$C$2:$D$235,2,FALSE),"")</f>
        <v/>
      </c>
      <c r="V48" s="32" t="str">
        <f>_xlfn.IFNA(VLOOKUP($C48&amp;","&amp;V3,汇编指令!$C$2:$D$235,2,FALSE),"")</f>
        <v/>
      </c>
      <c r="W48" s="32" t="str">
        <f>_xlfn.IFNA(VLOOKUP($C48&amp;","&amp;W3,汇编指令!$C$2:$D$235,2,FALSE),"")</f>
        <v/>
      </c>
      <c r="X48" s="32" t="str">
        <f>_xlfn.IFNA(VLOOKUP($C48&amp;","&amp;X3,汇编指令!$C$2:$D$235,2,FALSE),"")</f>
        <v/>
      </c>
      <c r="Y48" s="32" t="str">
        <f>_xlfn.IFNA(VLOOKUP($C48&amp;","&amp;Y3,汇编指令!$C$2:$D$235,2,FALSE),"")</f>
        <v/>
      </c>
      <c r="Z48" s="32" t="str">
        <f>_xlfn.IFNA(VLOOKUP($C48&amp;","&amp;Z3,汇编指令!$C$2:$D$235,2,FALSE),"")</f>
        <v/>
      </c>
      <c r="AA48" s="32" t="str">
        <f>_xlfn.IFNA(VLOOKUP($C48&amp;","&amp;AA3,汇编指令!$C$2:$D$235,2,FALSE),"")</f>
        <v/>
      </c>
      <c r="AB48" s="32" t="str">
        <f>_xlfn.IFNA(VLOOKUP($C48&amp;","&amp;AB3,汇编指令!$C$2:$D$235,2,FALSE),"")</f>
        <v/>
      </c>
    </row>
    <row r="49" ht="20" customHeight="1" spans="1:28">
      <c r="A49" s="16">
        <v>1</v>
      </c>
      <c r="B49" s="21">
        <f t="shared" si="1"/>
        <v>45</v>
      </c>
      <c r="C49" s="24" t="s">
        <v>964</v>
      </c>
      <c r="D49" s="23" t="str">
        <f t="shared" si="2"/>
        <v>2D</v>
      </c>
      <c r="E49" s="34" t="str">
        <f>_xlfn.IFNA(VLOOKUP($C49&amp;","&amp;E3,汇编指令!$C$2:$D$235,2,FALSE),"")</f>
        <v/>
      </c>
      <c r="F49" s="32" t="str">
        <f>_xlfn.IFNA(VLOOKUP($C49&amp;","&amp;F3,汇编指令!$C$2:$D$235,2,FALSE),"")</f>
        <v/>
      </c>
      <c r="G49" s="32" t="str">
        <f>_xlfn.IFNA(VLOOKUP($C49&amp;","&amp;G3,汇编指令!$C$2:$D$235,2,FALSE),"")</f>
        <v/>
      </c>
      <c r="H49" s="32" t="str">
        <f>_xlfn.IFNA(VLOOKUP($C49&amp;","&amp;H3,汇编指令!$C$2:$D$235,2,FALSE),"")</f>
        <v/>
      </c>
      <c r="I49" s="32" t="str">
        <f>_xlfn.IFNA(VLOOKUP($C49&amp;","&amp;I3,汇编指令!$C$2:$D$235,2,FALSE),"")</f>
        <v/>
      </c>
      <c r="J49" s="32" t="str">
        <f>_xlfn.IFNA(VLOOKUP($C49&amp;","&amp;J3,汇编指令!$C$2:$D$235,2,FALSE),"")</f>
        <v/>
      </c>
      <c r="K49" s="32" t="str">
        <f>_xlfn.IFNA(VLOOKUP($C49&amp;","&amp;K3,汇编指令!$C$2:$D$235,2,FALSE),"")</f>
        <v/>
      </c>
      <c r="L49" s="32" t="str">
        <f>_xlfn.IFNA(VLOOKUP($C49&amp;","&amp;L3,汇编指令!$C$2:$D$235,2,FALSE),"")</f>
        <v/>
      </c>
      <c r="M49" s="32" t="str">
        <f>_xlfn.IFNA(VLOOKUP($C49&amp;","&amp;M3,汇编指令!$C$2:$D$235,2,FALSE),"")</f>
        <v/>
      </c>
      <c r="N49" s="32" t="str">
        <f>_xlfn.IFNA(VLOOKUP($C49&amp;","&amp;N3,汇编指令!$C$2:$D$235,2,FALSE),"")</f>
        <v/>
      </c>
      <c r="O49" s="33" t="str">
        <f>_xlfn.IFNA(VLOOKUP($C49&amp;","&amp;O3,汇编指令!$C$2:$D$235,2,FALSE),"")</f>
        <v>C0</v>
      </c>
      <c r="P49" s="32" t="str">
        <f>_xlfn.IFNA(VLOOKUP($C49&amp;","&amp;P3,汇编指令!$C$2:$D$235,2,FALSE),"")</f>
        <v/>
      </c>
      <c r="Q49" s="32" t="str">
        <f>_xlfn.IFNA(VLOOKUP($C49&amp;","&amp;Q3,汇编指令!$C$2:$D$235,2,FALSE),"")</f>
        <v/>
      </c>
      <c r="R49" s="32" t="str">
        <f>_xlfn.IFNA(VLOOKUP($C49&amp;","&amp;R3,汇编指令!$C$2:$D$235,2,FALSE),"")</f>
        <v/>
      </c>
      <c r="S49" s="32" t="str">
        <f>_xlfn.IFNA(VLOOKUP($C49&amp;","&amp;S3,汇编指令!$C$2:$D$235,2,FALSE),"")</f>
        <v/>
      </c>
      <c r="T49" s="32" t="str">
        <f>_xlfn.IFNA(VLOOKUP($C49&amp;","&amp;T3,汇编指令!$C$2:$D$235,2,FALSE),"")</f>
        <v/>
      </c>
      <c r="U49" s="32" t="str">
        <f>_xlfn.IFNA(VLOOKUP($C49&amp;","&amp;U3,汇编指令!$C$2:$D$235,2,FALSE),"")</f>
        <v/>
      </c>
      <c r="V49" s="32" t="str">
        <f>_xlfn.IFNA(VLOOKUP($C49&amp;","&amp;V3,汇编指令!$C$2:$D$235,2,FALSE),"")</f>
        <v/>
      </c>
      <c r="W49" s="32" t="str">
        <f>_xlfn.IFNA(VLOOKUP($C49&amp;","&amp;W3,汇编指令!$C$2:$D$235,2,FALSE),"")</f>
        <v/>
      </c>
      <c r="X49" s="32" t="str">
        <f>_xlfn.IFNA(VLOOKUP($C49&amp;","&amp;X3,汇编指令!$C$2:$D$235,2,FALSE),"")</f>
        <v/>
      </c>
      <c r="Y49" s="32" t="str">
        <f>_xlfn.IFNA(VLOOKUP($C49&amp;","&amp;Y3,汇编指令!$C$2:$D$235,2,FALSE),"")</f>
        <v/>
      </c>
      <c r="Z49" s="32" t="str">
        <f>_xlfn.IFNA(VLOOKUP($C49&amp;","&amp;Z3,汇编指令!$C$2:$D$235,2,FALSE),"")</f>
        <v/>
      </c>
      <c r="AA49" s="32" t="str">
        <f>_xlfn.IFNA(VLOOKUP($C49&amp;","&amp;AA3,汇编指令!$C$2:$D$235,2,FALSE),"")</f>
        <v/>
      </c>
      <c r="AB49" s="32" t="str">
        <f>_xlfn.IFNA(VLOOKUP($C49&amp;","&amp;AB3,汇编指令!$C$2:$D$235,2,FALSE),"")</f>
        <v/>
      </c>
    </row>
    <row r="50" ht="20" customHeight="1" spans="1:28">
      <c r="A50" s="16">
        <v>1</v>
      </c>
      <c r="B50" s="21">
        <f t="shared" si="1"/>
        <v>46</v>
      </c>
      <c r="C50" s="24" t="s">
        <v>965</v>
      </c>
      <c r="D50" s="23" t="str">
        <f t="shared" si="2"/>
        <v>2E</v>
      </c>
      <c r="E50" s="31" t="str">
        <f>_xlfn.IFNA(VLOOKUP($C50&amp;","&amp;E3,汇编指令!$C$2:$D$235,2,FALSE),"")</f>
        <v>23</v>
      </c>
      <c r="F50" s="32" t="str">
        <f>_xlfn.IFNA(VLOOKUP($C50&amp;","&amp;F3,汇编指令!$C$2:$D$235,2,FALSE),"")</f>
        <v/>
      </c>
      <c r="G50" s="32" t="str">
        <f>_xlfn.IFNA(VLOOKUP($C50&amp;","&amp;G3,汇编指令!$C$2:$D$235,2,FALSE),"")</f>
        <v/>
      </c>
      <c r="H50" s="32" t="str">
        <f>_xlfn.IFNA(VLOOKUP($C50&amp;","&amp;H3,汇编指令!$C$2:$D$235,2,FALSE),"")</f>
        <v/>
      </c>
      <c r="I50" s="32" t="str">
        <f>_xlfn.IFNA(VLOOKUP($C50&amp;","&amp;I3,汇编指令!$C$2:$D$235,2,FALSE),"")</f>
        <v/>
      </c>
      <c r="J50" s="32" t="str">
        <f>_xlfn.IFNA(VLOOKUP($C50&amp;","&amp;J3,汇编指令!$C$2:$D$235,2,FALSE),"")</f>
        <v/>
      </c>
      <c r="K50" s="32" t="str">
        <f>_xlfn.IFNA(VLOOKUP($C50&amp;","&amp;K3,汇编指令!$C$2:$D$235,2,FALSE),"")</f>
        <v/>
      </c>
      <c r="L50" s="32" t="str">
        <f>_xlfn.IFNA(VLOOKUP($C50&amp;","&amp;L3,汇编指令!$C$2:$D$235,2,FALSE),"")</f>
        <v/>
      </c>
      <c r="M50" s="32" t="str">
        <f>_xlfn.IFNA(VLOOKUP($C50&amp;","&amp;M3,汇编指令!$C$2:$D$235,2,FALSE),"")</f>
        <v/>
      </c>
      <c r="N50" s="32" t="str">
        <f>_xlfn.IFNA(VLOOKUP($C50&amp;","&amp;N3,汇编指令!$C$2:$D$235,2,FALSE),"")</f>
        <v/>
      </c>
      <c r="O50" s="32" t="str">
        <f>_xlfn.IFNA(VLOOKUP($C50&amp;","&amp;O3,汇编指令!$C$2:$D$235,2,FALSE),"")</f>
        <v/>
      </c>
      <c r="P50" s="32" t="str">
        <f>_xlfn.IFNA(VLOOKUP($C50&amp;","&amp;P3,汇编指令!$C$2:$D$235,2,FALSE),"")</f>
        <v/>
      </c>
      <c r="Q50" s="32" t="str">
        <f>_xlfn.IFNA(VLOOKUP($C50&amp;","&amp;Q3,汇编指令!$C$2:$D$235,2,FALSE),"")</f>
        <v/>
      </c>
      <c r="R50" s="32" t="str">
        <f>_xlfn.IFNA(VLOOKUP($C50&amp;","&amp;R3,汇编指令!$C$2:$D$235,2,FALSE),"")</f>
        <v/>
      </c>
      <c r="S50" s="32" t="str">
        <f>_xlfn.IFNA(VLOOKUP($C50&amp;","&amp;S3,汇编指令!$C$2:$D$235,2,FALSE),"")</f>
        <v/>
      </c>
      <c r="T50" s="32" t="str">
        <f>_xlfn.IFNA(VLOOKUP($C50&amp;","&amp;T3,汇编指令!$C$2:$D$235,2,FALSE),"")</f>
        <v/>
      </c>
      <c r="U50" s="32" t="str">
        <f>_xlfn.IFNA(VLOOKUP($C50&amp;","&amp;U3,汇编指令!$C$2:$D$235,2,FALSE),"")</f>
        <v/>
      </c>
      <c r="V50" s="32" t="str">
        <f>_xlfn.IFNA(VLOOKUP($C50&amp;","&amp;V3,汇编指令!$C$2:$D$235,2,FALSE),"")</f>
        <v/>
      </c>
      <c r="W50" s="32" t="str">
        <f>_xlfn.IFNA(VLOOKUP($C50&amp;","&amp;W3,汇编指令!$C$2:$D$235,2,FALSE),"")</f>
        <v/>
      </c>
      <c r="X50" s="32" t="str">
        <f>_xlfn.IFNA(VLOOKUP($C50&amp;","&amp;X3,汇编指令!$C$2:$D$235,2,FALSE),"")</f>
        <v/>
      </c>
      <c r="Y50" s="32" t="str">
        <f>_xlfn.IFNA(VLOOKUP($C50&amp;","&amp;Y3,汇编指令!$C$2:$D$235,2,FALSE),"")</f>
        <v/>
      </c>
      <c r="Z50" s="32" t="str">
        <f>_xlfn.IFNA(VLOOKUP($C50&amp;","&amp;Z3,汇编指令!$C$2:$D$235,2,FALSE),"")</f>
        <v/>
      </c>
      <c r="AA50" s="32" t="str">
        <f>_xlfn.IFNA(VLOOKUP($C50&amp;","&amp;AA3,汇编指令!$C$2:$D$235,2,FALSE),"")</f>
        <v/>
      </c>
      <c r="AB50" s="32" t="str">
        <f>_xlfn.IFNA(VLOOKUP($C50&amp;","&amp;AB3,汇编指令!$C$2:$D$235,2,FALSE),"")</f>
        <v/>
      </c>
    </row>
    <row r="51" ht="20" customHeight="1" spans="1:28">
      <c r="A51" s="16">
        <v>1</v>
      </c>
      <c r="B51" s="21">
        <f t="shared" si="1"/>
        <v>47</v>
      </c>
      <c r="C51" s="24" t="s">
        <v>966</v>
      </c>
      <c r="D51" s="23" t="str">
        <f t="shared" si="2"/>
        <v>2F</v>
      </c>
      <c r="E51" s="31" t="str">
        <f>_xlfn.IFNA(VLOOKUP($C51&amp;","&amp;E3,汇编指令!$C$2:$D$235,2,FALSE),"")</f>
        <v>33</v>
      </c>
      <c r="F51" s="32" t="str">
        <f>_xlfn.IFNA(VLOOKUP($C51&amp;","&amp;F3,汇编指令!$C$2:$D$235,2,FALSE),"")</f>
        <v/>
      </c>
      <c r="G51" s="32" t="str">
        <f>_xlfn.IFNA(VLOOKUP($C51&amp;","&amp;G3,汇编指令!$C$2:$D$235,2,FALSE),"")</f>
        <v/>
      </c>
      <c r="H51" s="32" t="str">
        <f>_xlfn.IFNA(VLOOKUP($C51&amp;","&amp;H3,汇编指令!$C$2:$D$235,2,FALSE),"")</f>
        <v/>
      </c>
      <c r="I51" s="32" t="str">
        <f>_xlfn.IFNA(VLOOKUP($C51&amp;","&amp;I3,汇编指令!$C$2:$D$235,2,FALSE),"")</f>
        <v/>
      </c>
      <c r="J51" s="32" t="str">
        <f>_xlfn.IFNA(VLOOKUP($C51&amp;","&amp;J3,汇编指令!$C$2:$D$235,2,FALSE),"")</f>
        <v/>
      </c>
      <c r="K51" s="32" t="str">
        <f>_xlfn.IFNA(VLOOKUP($C51&amp;","&amp;K3,汇编指令!$C$2:$D$235,2,FALSE),"")</f>
        <v/>
      </c>
      <c r="L51" s="32" t="str">
        <f>_xlfn.IFNA(VLOOKUP($C51&amp;","&amp;L3,汇编指令!$C$2:$D$235,2,FALSE),"")</f>
        <v/>
      </c>
      <c r="M51" s="32" t="str">
        <f>_xlfn.IFNA(VLOOKUP($C51&amp;","&amp;M3,汇编指令!$C$2:$D$235,2,FALSE),"")</f>
        <v/>
      </c>
      <c r="N51" s="32" t="str">
        <f>_xlfn.IFNA(VLOOKUP($C51&amp;","&amp;N3,汇编指令!$C$2:$D$235,2,FALSE),"")</f>
        <v/>
      </c>
      <c r="O51" s="32" t="str">
        <f>_xlfn.IFNA(VLOOKUP($C51&amp;","&amp;O3,汇编指令!$C$2:$D$235,2,FALSE),"")</f>
        <v/>
      </c>
      <c r="P51" s="32" t="str">
        <f>_xlfn.IFNA(VLOOKUP($C51&amp;","&amp;P3,汇编指令!$C$2:$D$235,2,FALSE),"")</f>
        <v/>
      </c>
      <c r="Q51" s="32" t="str">
        <f>_xlfn.IFNA(VLOOKUP($C51&amp;","&amp;Q3,汇编指令!$C$2:$D$235,2,FALSE),"")</f>
        <v/>
      </c>
      <c r="R51" s="32" t="str">
        <f>_xlfn.IFNA(VLOOKUP($C51&amp;","&amp;R3,汇编指令!$C$2:$D$235,2,FALSE),"")</f>
        <v/>
      </c>
      <c r="S51" s="32" t="str">
        <f>_xlfn.IFNA(VLOOKUP($C51&amp;","&amp;S3,汇编指令!$C$2:$D$235,2,FALSE),"")</f>
        <v/>
      </c>
      <c r="T51" s="32" t="str">
        <f>_xlfn.IFNA(VLOOKUP($C51&amp;","&amp;T3,汇编指令!$C$2:$D$235,2,FALSE),"")</f>
        <v/>
      </c>
      <c r="U51" s="32" t="str">
        <f>_xlfn.IFNA(VLOOKUP($C51&amp;","&amp;U3,汇编指令!$C$2:$D$235,2,FALSE),"")</f>
        <v/>
      </c>
      <c r="V51" s="32" t="str">
        <f>_xlfn.IFNA(VLOOKUP($C51&amp;","&amp;V3,汇编指令!$C$2:$D$235,2,FALSE),"")</f>
        <v/>
      </c>
      <c r="W51" s="32" t="str">
        <f>_xlfn.IFNA(VLOOKUP($C51&amp;","&amp;W3,汇编指令!$C$2:$D$235,2,FALSE),"")</f>
        <v/>
      </c>
      <c r="X51" s="32" t="str">
        <f>_xlfn.IFNA(VLOOKUP($C51&amp;","&amp;X3,汇编指令!$C$2:$D$235,2,FALSE),"")</f>
        <v/>
      </c>
      <c r="Y51" s="32" t="str">
        <f>_xlfn.IFNA(VLOOKUP($C51&amp;","&amp;Y3,汇编指令!$C$2:$D$235,2,FALSE),"")</f>
        <v/>
      </c>
      <c r="Z51" s="32" t="str">
        <f>_xlfn.IFNA(VLOOKUP($C51&amp;","&amp;Z3,汇编指令!$C$2:$D$235,2,FALSE),"")</f>
        <v/>
      </c>
      <c r="AA51" s="32" t="str">
        <f>_xlfn.IFNA(VLOOKUP($C51&amp;","&amp;AA3,汇编指令!$C$2:$D$235,2,FALSE),"")</f>
        <v/>
      </c>
      <c r="AB51" s="32" t="str">
        <f>_xlfn.IFNA(VLOOKUP($C51&amp;","&amp;AB3,汇编指令!$C$2:$D$235,2,FALSE),"")</f>
        <v/>
      </c>
    </row>
    <row r="52" ht="20" customHeight="1" spans="1:28">
      <c r="A52" s="16">
        <v>1</v>
      </c>
      <c r="B52" s="21">
        <f t="shared" si="1"/>
        <v>48</v>
      </c>
      <c r="C52" s="24" t="s">
        <v>967</v>
      </c>
      <c r="D52" s="23" t="str">
        <f t="shared" si="2"/>
        <v>30</v>
      </c>
      <c r="E52" s="31" t="str">
        <f>_xlfn.IFNA(VLOOKUP($C52&amp;","&amp;E3,汇编指令!$C$2:$D$235,2,FALSE),"")</f>
        <v>3</v>
      </c>
      <c r="F52" s="32" t="str">
        <f>_xlfn.IFNA(VLOOKUP($C52&amp;","&amp;F3,汇编指令!$C$2:$D$235,2,FALSE),"")</f>
        <v/>
      </c>
      <c r="G52" s="32" t="str">
        <f>_xlfn.IFNA(VLOOKUP($C52&amp;","&amp;G3,汇编指令!$C$2:$D$235,2,FALSE),"")</f>
        <v/>
      </c>
      <c r="H52" s="32" t="str">
        <f>_xlfn.IFNA(VLOOKUP($C52&amp;","&amp;H3,汇编指令!$C$2:$D$235,2,FALSE),"")</f>
        <v/>
      </c>
      <c r="I52" s="32" t="str">
        <f>_xlfn.IFNA(VLOOKUP($C52&amp;","&amp;I3,汇编指令!$C$2:$D$235,2,FALSE),"")</f>
        <v/>
      </c>
      <c r="J52" s="32" t="str">
        <f>_xlfn.IFNA(VLOOKUP($C52&amp;","&amp;J3,汇编指令!$C$2:$D$235,2,FALSE),"")</f>
        <v/>
      </c>
      <c r="K52" s="32" t="str">
        <f>_xlfn.IFNA(VLOOKUP($C52&amp;","&amp;K3,汇编指令!$C$2:$D$235,2,FALSE),"")</f>
        <v/>
      </c>
      <c r="L52" s="32" t="str">
        <f>_xlfn.IFNA(VLOOKUP($C52&amp;","&amp;L3,汇编指令!$C$2:$D$235,2,FALSE),"")</f>
        <v/>
      </c>
      <c r="M52" s="32" t="str">
        <f>_xlfn.IFNA(VLOOKUP($C52&amp;","&amp;M3,汇编指令!$C$2:$D$235,2,FALSE),"")</f>
        <v/>
      </c>
      <c r="N52" s="32" t="str">
        <f>_xlfn.IFNA(VLOOKUP($C52&amp;","&amp;N3,汇编指令!$C$2:$D$235,2,FALSE),"")</f>
        <v/>
      </c>
      <c r="O52" s="32" t="str">
        <f>_xlfn.IFNA(VLOOKUP($C52&amp;","&amp;O3,汇编指令!$C$2:$D$235,2,FALSE),"")</f>
        <v/>
      </c>
      <c r="P52" s="32" t="str">
        <f>_xlfn.IFNA(VLOOKUP($C52&amp;","&amp;P3,汇编指令!$C$2:$D$235,2,FALSE),"")</f>
        <v/>
      </c>
      <c r="Q52" s="32" t="str">
        <f>_xlfn.IFNA(VLOOKUP($C52&amp;","&amp;Q3,汇编指令!$C$2:$D$235,2,FALSE),"")</f>
        <v/>
      </c>
      <c r="R52" s="32" t="str">
        <f>_xlfn.IFNA(VLOOKUP($C52&amp;","&amp;R3,汇编指令!$C$2:$D$235,2,FALSE),"")</f>
        <v/>
      </c>
      <c r="S52" s="32" t="str">
        <f>_xlfn.IFNA(VLOOKUP($C52&amp;","&amp;S3,汇编指令!$C$2:$D$235,2,FALSE),"")</f>
        <v/>
      </c>
      <c r="T52" s="32" t="str">
        <f>_xlfn.IFNA(VLOOKUP($C52&amp;","&amp;T3,汇编指令!$C$2:$D$235,2,FALSE),"")</f>
        <v/>
      </c>
      <c r="U52" s="32" t="str">
        <f>_xlfn.IFNA(VLOOKUP($C52&amp;","&amp;U3,汇编指令!$C$2:$D$235,2,FALSE),"")</f>
        <v/>
      </c>
      <c r="V52" s="32" t="str">
        <f>_xlfn.IFNA(VLOOKUP($C52&amp;","&amp;V3,汇编指令!$C$2:$D$235,2,FALSE),"")</f>
        <v/>
      </c>
      <c r="W52" s="32" t="str">
        <f>_xlfn.IFNA(VLOOKUP($C52&amp;","&amp;W3,汇编指令!$C$2:$D$235,2,FALSE),"")</f>
        <v/>
      </c>
      <c r="X52" s="32" t="str">
        <f>_xlfn.IFNA(VLOOKUP($C52&amp;","&amp;X3,汇编指令!$C$2:$D$235,2,FALSE),"")</f>
        <v/>
      </c>
      <c r="Y52" s="32" t="str">
        <f>_xlfn.IFNA(VLOOKUP($C52&amp;","&amp;Y3,汇编指令!$C$2:$D$235,2,FALSE),"")</f>
        <v/>
      </c>
      <c r="Z52" s="32" t="str">
        <f>_xlfn.IFNA(VLOOKUP($C52&amp;","&amp;Z3,汇编指令!$C$2:$D$235,2,FALSE),"")</f>
        <v/>
      </c>
      <c r="AA52" s="32" t="str">
        <f>_xlfn.IFNA(VLOOKUP($C52&amp;","&amp;AA3,汇编指令!$C$2:$D$235,2,FALSE),"")</f>
        <v/>
      </c>
      <c r="AB52" s="32" t="str">
        <f>_xlfn.IFNA(VLOOKUP($C52&amp;","&amp;AB3,汇编指令!$C$2:$D$235,2,FALSE),"")</f>
        <v/>
      </c>
    </row>
    <row r="53" ht="20" customHeight="1" spans="1:28">
      <c r="A53" s="16">
        <v>1</v>
      </c>
      <c r="B53" s="21">
        <f t="shared" si="1"/>
        <v>49</v>
      </c>
      <c r="C53" s="24" t="s">
        <v>968</v>
      </c>
      <c r="D53" s="23" t="str">
        <f t="shared" si="2"/>
        <v>31</v>
      </c>
      <c r="E53" s="31" t="str">
        <f>_xlfn.IFNA(VLOOKUP($C53&amp;","&amp;E3,汇编指令!$C$2:$D$235,2,FALSE),"")</f>
        <v>13</v>
      </c>
      <c r="F53" s="32" t="str">
        <f>_xlfn.IFNA(VLOOKUP($C53&amp;","&amp;F3,汇编指令!$C$2:$D$235,2,FALSE),"")</f>
        <v/>
      </c>
      <c r="G53" s="32" t="str">
        <f>_xlfn.IFNA(VLOOKUP($C53&amp;","&amp;G3,汇编指令!$C$2:$D$235,2,FALSE),"")</f>
        <v/>
      </c>
      <c r="H53" s="32" t="str">
        <f>_xlfn.IFNA(VLOOKUP($C53&amp;","&amp;H3,汇编指令!$C$2:$D$235,2,FALSE),"")</f>
        <v/>
      </c>
      <c r="I53" s="32" t="str">
        <f>_xlfn.IFNA(VLOOKUP($C53&amp;","&amp;I3,汇编指令!$C$2:$D$235,2,FALSE),"")</f>
        <v/>
      </c>
      <c r="J53" s="32" t="str">
        <f>_xlfn.IFNA(VLOOKUP($C53&amp;","&amp;J3,汇编指令!$C$2:$D$235,2,FALSE),"")</f>
        <v/>
      </c>
      <c r="K53" s="32" t="str">
        <f>_xlfn.IFNA(VLOOKUP($C53&amp;","&amp;K3,汇编指令!$C$2:$D$235,2,FALSE),"")</f>
        <v/>
      </c>
      <c r="L53" s="32" t="str">
        <f>_xlfn.IFNA(VLOOKUP($C53&amp;","&amp;L3,汇编指令!$C$2:$D$235,2,FALSE),"")</f>
        <v/>
      </c>
      <c r="M53" s="32" t="str">
        <f>_xlfn.IFNA(VLOOKUP($C53&amp;","&amp;M3,汇编指令!$C$2:$D$235,2,FALSE),"")</f>
        <v/>
      </c>
      <c r="N53" s="32" t="str">
        <f>_xlfn.IFNA(VLOOKUP($C53&amp;","&amp;N3,汇编指令!$C$2:$D$235,2,FALSE),"")</f>
        <v/>
      </c>
      <c r="O53" s="32" t="str">
        <f>_xlfn.IFNA(VLOOKUP($C53&amp;","&amp;O3,汇编指令!$C$2:$D$235,2,FALSE),"")</f>
        <v/>
      </c>
      <c r="P53" s="32" t="str">
        <f>_xlfn.IFNA(VLOOKUP($C53&amp;","&amp;P3,汇编指令!$C$2:$D$235,2,FALSE),"")</f>
        <v/>
      </c>
      <c r="Q53" s="32" t="str">
        <f>_xlfn.IFNA(VLOOKUP($C53&amp;","&amp;Q3,汇编指令!$C$2:$D$235,2,FALSE),"")</f>
        <v/>
      </c>
      <c r="R53" s="32" t="str">
        <f>_xlfn.IFNA(VLOOKUP($C53&amp;","&amp;R3,汇编指令!$C$2:$D$235,2,FALSE),"")</f>
        <v/>
      </c>
      <c r="S53" s="32" t="str">
        <f>_xlfn.IFNA(VLOOKUP($C53&amp;","&amp;S3,汇编指令!$C$2:$D$235,2,FALSE),"")</f>
        <v/>
      </c>
      <c r="T53" s="32" t="str">
        <f>_xlfn.IFNA(VLOOKUP($C53&amp;","&amp;T3,汇编指令!$C$2:$D$235,2,FALSE),"")</f>
        <v/>
      </c>
      <c r="U53" s="32" t="str">
        <f>_xlfn.IFNA(VLOOKUP($C53&amp;","&amp;U3,汇编指令!$C$2:$D$235,2,FALSE),"")</f>
        <v/>
      </c>
      <c r="V53" s="32" t="str">
        <f>_xlfn.IFNA(VLOOKUP($C53&amp;","&amp;V3,汇编指令!$C$2:$D$235,2,FALSE),"")</f>
        <v/>
      </c>
      <c r="W53" s="32" t="str">
        <f>_xlfn.IFNA(VLOOKUP($C53&amp;","&amp;W3,汇编指令!$C$2:$D$235,2,FALSE),"")</f>
        <v/>
      </c>
      <c r="X53" s="32" t="str">
        <f>_xlfn.IFNA(VLOOKUP($C53&amp;","&amp;X3,汇编指令!$C$2:$D$235,2,FALSE),"")</f>
        <v/>
      </c>
      <c r="Y53" s="32" t="str">
        <f>_xlfn.IFNA(VLOOKUP($C53&amp;","&amp;Y3,汇编指令!$C$2:$D$235,2,FALSE),"")</f>
        <v/>
      </c>
      <c r="Z53" s="32" t="str">
        <f>_xlfn.IFNA(VLOOKUP($C53&amp;","&amp;Z3,汇编指令!$C$2:$D$235,2,FALSE),"")</f>
        <v/>
      </c>
      <c r="AA53" s="32" t="str">
        <f>_xlfn.IFNA(VLOOKUP($C53&amp;","&amp;AA3,汇编指令!$C$2:$D$235,2,FALSE),"")</f>
        <v/>
      </c>
      <c r="AB53" s="32" t="str">
        <f>_xlfn.IFNA(VLOOKUP($C53&amp;","&amp;AB3,汇编指令!$C$2:$D$235,2,FALSE),"")</f>
        <v/>
      </c>
    </row>
    <row r="54" ht="20" customHeight="1" spans="1:28">
      <c r="A54" s="16">
        <v>1</v>
      </c>
      <c r="B54" s="21">
        <f t="shared" si="1"/>
        <v>50</v>
      </c>
      <c r="C54" s="24" t="s">
        <v>969</v>
      </c>
      <c r="D54" s="23" t="str">
        <f t="shared" si="2"/>
        <v>32</v>
      </c>
      <c r="E54" s="34" t="str">
        <f>_xlfn.IFNA(VLOOKUP($C54&amp;","&amp;E3,汇编指令!$C$2:$D$235,2,FALSE),"")</f>
        <v/>
      </c>
      <c r="F54" s="32" t="str">
        <f>_xlfn.IFNA(VLOOKUP($C54&amp;","&amp;F3,汇编指令!$C$2:$D$235,2,FALSE),"")</f>
        <v/>
      </c>
      <c r="G54" s="32" t="str">
        <f>_xlfn.IFNA(VLOOKUP($C54&amp;","&amp;G3,汇编指令!$C$2:$D$235,2,FALSE),"")</f>
        <v/>
      </c>
      <c r="H54" s="32" t="str">
        <f>_xlfn.IFNA(VLOOKUP($C54&amp;","&amp;H3,汇编指令!$C$2:$D$235,2,FALSE),"")</f>
        <v/>
      </c>
      <c r="I54" s="32" t="str">
        <f>_xlfn.IFNA(VLOOKUP($C54&amp;","&amp;I3,汇编指令!$C$2:$D$235,2,FALSE),"")</f>
        <v/>
      </c>
      <c r="J54" s="32" t="str">
        <f>_xlfn.IFNA(VLOOKUP($C54&amp;","&amp;J3,汇编指令!$C$2:$D$235,2,FALSE),"")</f>
        <v/>
      </c>
      <c r="K54" s="32" t="str">
        <f>_xlfn.IFNA(VLOOKUP($C54&amp;","&amp;K3,汇编指令!$C$2:$D$235,2,FALSE),"")</f>
        <v/>
      </c>
      <c r="L54" s="32" t="str">
        <f>_xlfn.IFNA(VLOOKUP($C54&amp;","&amp;L3,汇编指令!$C$2:$D$235,2,FALSE),"")</f>
        <v/>
      </c>
      <c r="M54" s="32" t="str">
        <f>_xlfn.IFNA(VLOOKUP($C54&amp;","&amp;M3,汇编指令!$C$2:$D$235,2,FALSE),"")</f>
        <v/>
      </c>
      <c r="N54" s="32" t="str">
        <f>_xlfn.IFNA(VLOOKUP($C54&amp;","&amp;N3,汇编指令!$C$2:$D$235,2,FALSE),"")</f>
        <v/>
      </c>
      <c r="O54" s="32" t="str">
        <f>_xlfn.IFNA(VLOOKUP($C54&amp;","&amp;O3,汇编指令!$C$2:$D$235,2,FALSE),"")</f>
        <v/>
      </c>
      <c r="P54" s="32" t="str">
        <f>_xlfn.IFNA(VLOOKUP($C54&amp;","&amp;P3,汇编指令!$C$2:$D$235,2,FALSE),"")</f>
        <v/>
      </c>
      <c r="Q54" s="32" t="str">
        <f>_xlfn.IFNA(VLOOKUP($C54&amp;","&amp;Q3,汇编指令!$C$2:$D$235,2,FALSE),"")</f>
        <v/>
      </c>
      <c r="R54" s="32" t="str">
        <f>_xlfn.IFNA(VLOOKUP($C54&amp;","&amp;R3,汇编指令!$C$2:$D$235,2,FALSE),"")</f>
        <v/>
      </c>
      <c r="S54" s="32" t="str">
        <f>_xlfn.IFNA(VLOOKUP($C54&amp;","&amp;S3,汇编指令!$C$2:$D$235,2,FALSE),"")</f>
        <v/>
      </c>
      <c r="T54" s="32" t="str">
        <f>_xlfn.IFNA(VLOOKUP($C54&amp;","&amp;T3,汇编指令!$C$2:$D$235,2,FALSE),"")</f>
        <v/>
      </c>
      <c r="U54" s="32" t="str">
        <f>_xlfn.IFNA(VLOOKUP($C54&amp;","&amp;U3,汇编指令!$C$2:$D$235,2,FALSE),"")</f>
        <v/>
      </c>
      <c r="V54" s="32" t="str">
        <f>_xlfn.IFNA(VLOOKUP($C54&amp;","&amp;V3,汇编指令!$C$2:$D$235,2,FALSE),"")</f>
        <v/>
      </c>
      <c r="W54" s="32" t="str">
        <f>_xlfn.IFNA(VLOOKUP($C54&amp;","&amp;W3,汇编指令!$C$2:$D$235,2,FALSE),"")</f>
        <v/>
      </c>
      <c r="X54" s="32" t="str">
        <f>_xlfn.IFNA(VLOOKUP($C54&amp;","&amp;X3,汇编指令!$C$2:$D$235,2,FALSE),"")</f>
        <v/>
      </c>
      <c r="Y54" s="33" t="str">
        <f>_xlfn.IFNA(VLOOKUP($C54&amp;","&amp;Y3,汇编指令!$C$2:$D$235,2,FALSE),"")</f>
        <v>D2</v>
      </c>
      <c r="Z54" s="33" t="str">
        <f>_xlfn.IFNA(VLOOKUP($C54&amp;","&amp;Z3,汇编指令!$C$2:$D$235,2,FALSE),"")</f>
        <v>D3</v>
      </c>
      <c r="AA54" s="32" t="str">
        <f>_xlfn.IFNA(VLOOKUP($C54&amp;","&amp;AA3,汇编指令!$C$2:$D$235,2,FALSE),"")</f>
        <v/>
      </c>
      <c r="AB54" s="32" t="str">
        <f>_xlfn.IFNA(VLOOKUP($C54&amp;","&amp;AB3,汇编指令!$C$2:$D$235,2,FALSE),"")</f>
        <v/>
      </c>
    </row>
    <row r="55" s="7" customFormat="1" ht="20" customHeight="1" spans="1:28">
      <c r="A55" s="16">
        <v>1</v>
      </c>
      <c r="B55" s="21">
        <f t="shared" si="1"/>
        <v>51</v>
      </c>
      <c r="C55" s="24" t="s">
        <v>970</v>
      </c>
      <c r="D55" s="23" t="str">
        <f t="shared" si="2"/>
        <v>33</v>
      </c>
      <c r="E55" s="34" t="str">
        <f>_xlfn.IFNA(VLOOKUP($C55&amp;","&amp;E3,汇编指令!$C$2:$D$235,2,FALSE),"")</f>
        <v/>
      </c>
      <c r="F55" s="32" t="str">
        <f>_xlfn.IFNA(VLOOKUP($C55&amp;","&amp;F3,汇编指令!$C$2:$D$235,2,FALSE),"")</f>
        <v/>
      </c>
      <c r="G55" s="32" t="str">
        <f>_xlfn.IFNA(VLOOKUP($C55&amp;","&amp;G3,汇编指令!$C$2:$D$235,2,FALSE),"")</f>
        <v/>
      </c>
      <c r="H55" s="32" t="str">
        <f>_xlfn.IFNA(VLOOKUP($C55&amp;","&amp;H3,汇编指令!$C$2:$D$235,2,FALSE),"")</f>
        <v/>
      </c>
      <c r="I55" s="32" t="str">
        <f>_xlfn.IFNA(VLOOKUP($C55&amp;","&amp;I3,汇编指令!$C$2:$D$235,2,FALSE),"")</f>
        <v/>
      </c>
      <c r="J55" s="32" t="str">
        <f>_xlfn.IFNA(VLOOKUP($C55&amp;","&amp;J3,汇编指令!$C$2:$D$235,2,FALSE),"")</f>
        <v/>
      </c>
      <c r="K55" s="32" t="str">
        <f>_xlfn.IFNA(VLOOKUP($C55&amp;","&amp;K3,汇编指令!$C$2:$D$235,2,FALSE),"")</f>
        <v/>
      </c>
      <c r="L55" s="32" t="str">
        <f>_xlfn.IFNA(VLOOKUP($C55&amp;","&amp;L3,汇编指令!$C$2:$D$235,2,FALSE),"")</f>
        <v/>
      </c>
      <c r="M55" s="32" t="str">
        <f>_xlfn.IFNA(VLOOKUP($C55&amp;","&amp;M3,汇编指令!$C$2:$D$235,2,FALSE),"")</f>
        <v/>
      </c>
      <c r="N55" s="32" t="str">
        <f>_xlfn.IFNA(VLOOKUP($C55&amp;","&amp;N3,汇编指令!$C$2:$D$235,2,FALSE),"")</f>
        <v/>
      </c>
      <c r="O55" s="32" t="str">
        <f>_xlfn.IFNA(VLOOKUP($C55&amp;","&amp;O3,汇编指令!$C$2:$D$235,2,FALSE),"")</f>
        <v/>
      </c>
      <c r="P55" s="32" t="str">
        <f>_xlfn.IFNA(VLOOKUP($C55&amp;","&amp;P3,汇编指令!$C$2:$D$235,2,FALSE),"")</f>
        <v/>
      </c>
      <c r="Q55" s="32" t="str">
        <f>_xlfn.IFNA(VLOOKUP($C55&amp;","&amp;Q3,汇编指令!$C$2:$D$235,2,FALSE),"")</f>
        <v/>
      </c>
      <c r="R55" s="32" t="str">
        <f>_xlfn.IFNA(VLOOKUP($C55&amp;","&amp;R3,汇编指令!$C$2:$D$235,2,FALSE),"")</f>
        <v/>
      </c>
      <c r="S55" s="32" t="str">
        <f>_xlfn.IFNA(VLOOKUP($C55&amp;","&amp;S3,汇编指令!$C$2:$D$235,2,FALSE),"")</f>
        <v/>
      </c>
      <c r="T55" s="32" t="str">
        <f>_xlfn.IFNA(VLOOKUP($C55&amp;","&amp;T3,汇编指令!$C$2:$D$235,2,FALSE),"")</f>
        <v/>
      </c>
      <c r="U55" s="32" t="str">
        <f>_xlfn.IFNA(VLOOKUP($C55&amp;","&amp;U3,汇编指令!$C$2:$D$235,2,FALSE),"")</f>
        <v/>
      </c>
      <c r="V55" s="32" t="str">
        <f>_xlfn.IFNA(VLOOKUP($C55&amp;","&amp;V3,汇编指令!$C$2:$D$235,2,FALSE),"")</f>
        <v/>
      </c>
      <c r="W55" s="32" t="str">
        <f>_xlfn.IFNA(VLOOKUP($C55&amp;","&amp;W3,汇编指令!$C$2:$D$235,2,FALSE),"")</f>
        <v/>
      </c>
      <c r="X55" s="33" t="str">
        <f>_xlfn.IFNA(VLOOKUP($C55&amp;","&amp;X3,汇编指令!$C$2:$D$235,2,FALSE),"")</f>
        <v>80</v>
      </c>
      <c r="Y55" s="32" t="str">
        <f>_xlfn.IFNA(VLOOKUP($C55&amp;","&amp;Y3,汇编指令!$C$2:$D$235,2,FALSE),"")</f>
        <v/>
      </c>
      <c r="Z55" s="32" t="str">
        <f>_xlfn.IFNA(VLOOKUP($C55&amp;","&amp;Z3,汇编指令!$C$2:$D$235,2,FALSE),"")</f>
        <v/>
      </c>
      <c r="AA55" s="32" t="str">
        <f>_xlfn.IFNA(VLOOKUP($C55&amp;","&amp;AA3,汇编指令!$C$2:$D$235,2,FALSE),"")</f>
        <v/>
      </c>
      <c r="AB55" s="32" t="str">
        <f>_xlfn.IFNA(VLOOKUP($C55&amp;","&amp;AB3,汇编指令!$C$2:$D$235,2,FALSE),"")</f>
        <v/>
      </c>
    </row>
    <row r="56" s="7" customFormat="1" ht="20" customHeight="1" spans="1:28">
      <c r="A56" s="16">
        <v>1</v>
      </c>
      <c r="B56" s="21">
        <f t="shared" si="1"/>
        <v>52</v>
      </c>
      <c r="C56" s="24" t="s">
        <v>971</v>
      </c>
      <c r="D56" s="23" t="str">
        <f t="shared" si="2"/>
        <v>34</v>
      </c>
      <c r="E56" s="31" t="str">
        <f>_xlfn.IFNA(VLOOKUP($C56&amp;","&amp;E3,汇编指令!$C$2:$D$235,2,FALSE),"")</f>
        <v>C4</v>
      </c>
      <c r="F56" s="32" t="str">
        <f>_xlfn.IFNA(VLOOKUP($C56&amp;","&amp;F3,汇编指令!$C$2:$D$235,2,FALSE),"")</f>
        <v/>
      </c>
      <c r="G56" s="32" t="str">
        <f>_xlfn.IFNA(VLOOKUP($C56&amp;","&amp;G3,汇编指令!$C$2:$D$235,2,FALSE),"")</f>
        <v/>
      </c>
      <c r="H56" s="32" t="str">
        <f>_xlfn.IFNA(VLOOKUP($C56&amp;","&amp;H3,汇编指令!$C$2:$D$235,2,FALSE),"")</f>
        <v/>
      </c>
      <c r="I56" s="32" t="str">
        <f>_xlfn.IFNA(VLOOKUP($C56&amp;","&amp;I3,汇编指令!$C$2:$D$235,2,FALSE),"")</f>
        <v/>
      </c>
      <c r="J56" s="32" t="str">
        <f>_xlfn.IFNA(VLOOKUP($C56&amp;","&amp;J3,汇编指令!$C$2:$D$235,2,FALSE),"")</f>
        <v/>
      </c>
      <c r="K56" s="32" t="str">
        <f>_xlfn.IFNA(VLOOKUP($C56&amp;","&amp;K3,汇编指令!$C$2:$D$235,2,FALSE),"")</f>
        <v/>
      </c>
      <c r="L56" s="32" t="str">
        <f>_xlfn.IFNA(VLOOKUP($C56&amp;","&amp;L3,汇编指令!$C$2:$D$235,2,FALSE),"")</f>
        <v/>
      </c>
      <c r="M56" s="32" t="str">
        <f>_xlfn.IFNA(VLOOKUP($C56&amp;","&amp;M3,汇编指令!$C$2:$D$235,2,FALSE),"")</f>
        <v/>
      </c>
      <c r="N56" s="32" t="str">
        <f>_xlfn.IFNA(VLOOKUP($C56&amp;","&amp;N3,汇编指令!$C$2:$D$235,2,FALSE),"")</f>
        <v/>
      </c>
      <c r="O56" s="32" t="str">
        <f>_xlfn.IFNA(VLOOKUP($C56&amp;","&amp;O3,汇编指令!$C$2:$D$235,2,FALSE),"")</f>
        <v/>
      </c>
      <c r="P56" s="32" t="str">
        <f>_xlfn.IFNA(VLOOKUP($C56&amp;","&amp;P3,汇编指令!$C$2:$D$235,2,FALSE),"")</f>
        <v/>
      </c>
      <c r="Q56" s="32" t="str">
        <f>_xlfn.IFNA(VLOOKUP($C56&amp;","&amp;Q3,汇编指令!$C$2:$D$235,2,FALSE),"")</f>
        <v/>
      </c>
      <c r="R56" s="32" t="str">
        <f>_xlfn.IFNA(VLOOKUP($C56&amp;","&amp;R3,汇编指令!$C$2:$D$235,2,FALSE),"")</f>
        <v/>
      </c>
      <c r="S56" s="32" t="str">
        <f>_xlfn.IFNA(VLOOKUP($C56&amp;","&amp;S3,汇编指令!$C$2:$D$235,2,FALSE),"")</f>
        <v/>
      </c>
      <c r="T56" s="32" t="str">
        <f>_xlfn.IFNA(VLOOKUP($C56&amp;","&amp;T3,汇编指令!$C$2:$D$235,2,FALSE),"")</f>
        <v/>
      </c>
      <c r="U56" s="32" t="str">
        <f>_xlfn.IFNA(VLOOKUP($C56&amp;","&amp;U3,汇编指令!$C$2:$D$235,2,FALSE),"")</f>
        <v/>
      </c>
      <c r="V56" s="32" t="str">
        <f>_xlfn.IFNA(VLOOKUP($C56&amp;","&amp;V3,汇编指令!$C$2:$D$235,2,FALSE),"")</f>
        <v/>
      </c>
      <c r="W56" s="32" t="str">
        <f>_xlfn.IFNA(VLOOKUP($C56&amp;","&amp;W3,汇编指令!$C$2:$D$235,2,FALSE),"")</f>
        <v/>
      </c>
      <c r="X56" s="32" t="str">
        <f>_xlfn.IFNA(VLOOKUP($C56&amp;","&amp;X3,汇编指令!$C$2:$D$235,2,FALSE),"")</f>
        <v/>
      </c>
      <c r="Y56" s="32" t="str">
        <f>_xlfn.IFNA(VLOOKUP($C56&amp;","&amp;Y3,汇编指令!$C$2:$D$235,2,FALSE),"")</f>
        <v/>
      </c>
      <c r="Z56" s="32" t="str">
        <f>_xlfn.IFNA(VLOOKUP($C56&amp;","&amp;Z3,汇编指令!$C$2:$D$235,2,FALSE),"")</f>
        <v/>
      </c>
      <c r="AA56" s="32" t="str">
        <f>_xlfn.IFNA(VLOOKUP($C56&amp;","&amp;AA3,汇编指令!$C$2:$D$235,2,FALSE),"")</f>
        <v/>
      </c>
      <c r="AB56" s="32" t="str">
        <f>_xlfn.IFNA(VLOOKUP($C56&amp;","&amp;AB3,汇编指令!$C$2:$D$235,2,FALSE),"")</f>
        <v/>
      </c>
    </row>
    <row r="57" ht="20" customHeight="1" spans="1:28">
      <c r="A57" s="16">
        <v>2</v>
      </c>
      <c r="B57" s="21">
        <f t="shared" si="1"/>
        <v>53</v>
      </c>
      <c r="C57" s="24" t="s">
        <v>972</v>
      </c>
      <c r="D57" s="23" t="str">
        <f t="shared" si="2"/>
        <v>35</v>
      </c>
      <c r="E57" s="34" t="str">
        <f>_xlfn.IFNA(VLOOKUP($C57&amp;","&amp;E3,汇编指令!$C$2:$D$235,2,FALSE),"")</f>
        <v/>
      </c>
      <c r="F57" s="33" t="str">
        <f>_xlfn.IFNA(VLOOKUP($C57&amp;","&amp;F3,汇编指令!$C$2:$D$235,2,FALSE),"")</f>
        <v>28</v>
      </c>
      <c r="G57" s="33" t="str">
        <f>_xlfn.IFNA(VLOOKUP($C57&amp;","&amp;G3,汇编指令!$C$2:$D$235,2,FALSE),"")</f>
        <v>29</v>
      </c>
      <c r="H57" s="33" t="str">
        <f>_xlfn.IFNA(VLOOKUP($C57&amp;","&amp;H3,汇编指令!$C$2:$D$235,2,FALSE),"")</f>
        <v>2A</v>
      </c>
      <c r="I57" s="33" t="str">
        <f>_xlfn.IFNA(VLOOKUP($C57&amp;","&amp;I3,汇编指令!$C$2:$D$235,2,FALSE),"")</f>
        <v>2B</v>
      </c>
      <c r="J57" s="33" t="str">
        <f>_xlfn.IFNA(VLOOKUP($C57&amp;","&amp;J3,汇编指令!$C$2:$D$235,2,FALSE),"")</f>
        <v>2C</v>
      </c>
      <c r="K57" s="33" t="str">
        <f>_xlfn.IFNA(VLOOKUP($C57&amp;","&amp;K3,汇编指令!$C$2:$D$235,2,FALSE),"")</f>
        <v>2D</v>
      </c>
      <c r="L57" s="33" t="str">
        <f>_xlfn.IFNA(VLOOKUP($C57&amp;","&amp;L3,汇编指令!$C$2:$D$235,2,FALSE),"")</f>
        <v>2E</v>
      </c>
      <c r="M57" s="33" t="str">
        <f>_xlfn.IFNA(VLOOKUP($C57&amp;","&amp;M3,汇编指令!$C$2:$D$235,2,FALSE),"")</f>
        <v>2F</v>
      </c>
      <c r="N57" s="33" t="str">
        <f>_xlfn.IFNA(VLOOKUP($C57&amp;","&amp;N3,汇编指令!$C$2:$D$235,2,FALSE),"")</f>
        <v>24</v>
      </c>
      <c r="O57" s="33" t="str">
        <f>_xlfn.IFNA(VLOOKUP($C57&amp;","&amp;O3,汇编指令!$C$2:$D$235,2,FALSE),"")</f>
        <v>25</v>
      </c>
      <c r="P57" s="33" t="str">
        <f>_xlfn.IFNA(VLOOKUP($C57&amp;","&amp;P3,汇编指令!$C$2:$D$235,2,FALSE),"")</f>
        <v>26</v>
      </c>
      <c r="Q57" s="33" t="str">
        <f>_xlfn.IFNA(VLOOKUP($C57&amp;","&amp;Q3,汇编指令!$C$2:$D$235,2,FALSE),"")</f>
        <v>27</v>
      </c>
      <c r="R57" s="32" t="str">
        <f>_xlfn.IFNA(VLOOKUP($C57&amp;","&amp;R3,汇编指令!$C$2:$D$235,2,FALSE),"")</f>
        <v/>
      </c>
      <c r="S57" s="32" t="str">
        <f>_xlfn.IFNA(VLOOKUP($C57&amp;","&amp;S3,汇编指令!$C$2:$D$235,2,FALSE),"")</f>
        <v/>
      </c>
      <c r="T57" s="32" t="str">
        <f>_xlfn.IFNA(VLOOKUP($C57&amp;","&amp;T3,汇编指令!$C$2:$D$235,2,FALSE),"")</f>
        <v/>
      </c>
      <c r="U57" s="32" t="str">
        <f>_xlfn.IFNA(VLOOKUP($C57&amp;","&amp;U3,汇编指令!$C$2:$D$235,2,FALSE),"")</f>
        <v/>
      </c>
      <c r="V57" s="32" t="str">
        <f>_xlfn.IFNA(VLOOKUP($C57&amp;","&amp;V3,汇编指令!$C$2:$D$235,2,FALSE),"")</f>
        <v/>
      </c>
      <c r="W57" s="32" t="str">
        <f>_xlfn.IFNA(VLOOKUP($C57&amp;","&amp;W3,汇编指令!$C$2:$D$235,2,FALSE),"")</f>
        <v/>
      </c>
      <c r="X57" s="32" t="str">
        <f>_xlfn.IFNA(VLOOKUP($C57&amp;","&amp;X3,汇编指令!$C$2:$D$235,2,FALSE),"")</f>
        <v/>
      </c>
      <c r="Y57" s="32" t="str">
        <f>_xlfn.IFNA(VLOOKUP($C57&amp;","&amp;Y3,汇编指令!$C$2:$D$235,2,FALSE),"")</f>
        <v/>
      </c>
      <c r="Z57" s="32" t="str">
        <f>_xlfn.IFNA(VLOOKUP($C57&amp;","&amp;Z3,汇编指令!$C$2:$D$235,2,FALSE),"")</f>
        <v/>
      </c>
      <c r="AA57" s="32" t="str">
        <f>_xlfn.IFNA(VLOOKUP($C57&amp;","&amp;AA3,汇编指令!$C$2:$D$235,2,FALSE),"")</f>
        <v/>
      </c>
      <c r="AB57" s="32" t="str">
        <f>_xlfn.IFNA(VLOOKUP($C57&amp;","&amp;AB3,汇编指令!$C$2:$D$235,2,FALSE),"")</f>
        <v/>
      </c>
    </row>
    <row r="58" s="7" customFormat="1" ht="20" customHeight="1" spans="1:28">
      <c r="A58" s="16">
        <v>2</v>
      </c>
      <c r="B58" s="21">
        <f t="shared" si="1"/>
        <v>54</v>
      </c>
      <c r="C58" s="24" t="s">
        <v>973</v>
      </c>
      <c r="D58" s="23" t="str">
        <f t="shared" si="2"/>
        <v>36</v>
      </c>
      <c r="E58" s="34" t="str">
        <f>_xlfn.IFNA(VLOOKUP($C58&amp;","&amp;E3,汇编指令!$C$2:$D$235,2,FALSE),"")</f>
        <v/>
      </c>
      <c r="F58" s="33" t="str">
        <f>_xlfn.IFNA(VLOOKUP($C58&amp;","&amp;F3,汇编指令!$C$2:$D$235,2,FALSE),"")</f>
        <v>38</v>
      </c>
      <c r="G58" s="33" t="str">
        <f>_xlfn.IFNA(VLOOKUP($C58&amp;","&amp;G3,汇编指令!$C$2:$D$235,2,FALSE),"")</f>
        <v>39</v>
      </c>
      <c r="H58" s="33" t="str">
        <f>_xlfn.IFNA(VLOOKUP($C58&amp;","&amp;H3,汇编指令!$C$2:$D$235,2,FALSE),"")</f>
        <v>3A</v>
      </c>
      <c r="I58" s="33" t="str">
        <f>_xlfn.IFNA(VLOOKUP($C58&amp;","&amp;I3,汇编指令!$C$2:$D$235,2,FALSE),"")</f>
        <v>3B</v>
      </c>
      <c r="J58" s="33" t="str">
        <f>_xlfn.IFNA(VLOOKUP($C58&amp;","&amp;J3,汇编指令!$C$2:$D$235,2,FALSE),"")</f>
        <v>3C</v>
      </c>
      <c r="K58" s="33" t="str">
        <f>_xlfn.IFNA(VLOOKUP($C58&amp;","&amp;K3,汇编指令!$C$2:$D$235,2,FALSE),"")</f>
        <v>3D</v>
      </c>
      <c r="L58" s="33" t="str">
        <f>_xlfn.IFNA(VLOOKUP($C58&amp;","&amp;L3,汇编指令!$C$2:$D$235,2,FALSE),"")</f>
        <v>3E</v>
      </c>
      <c r="M58" s="33" t="str">
        <f>_xlfn.IFNA(VLOOKUP($C58&amp;","&amp;M3,汇编指令!$C$2:$D$235,2,FALSE),"")</f>
        <v>3F</v>
      </c>
      <c r="N58" s="33" t="str">
        <f>_xlfn.IFNA(VLOOKUP($C58&amp;","&amp;N3,汇编指令!$C$2:$D$235,2,FALSE),"")</f>
        <v>34</v>
      </c>
      <c r="O58" s="33" t="str">
        <f>_xlfn.IFNA(VLOOKUP($C58&amp;","&amp;O3,汇编指令!$C$2:$D$235,2,FALSE),"")</f>
        <v>35</v>
      </c>
      <c r="P58" s="33" t="str">
        <f>_xlfn.IFNA(VLOOKUP($C58&amp;","&amp;P3,汇编指令!$C$2:$D$235,2,FALSE),"")</f>
        <v>36</v>
      </c>
      <c r="Q58" s="33" t="str">
        <f>_xlfn.IFNA(VLOOKUP($C58&amp;","&amp;Q3,汇编指令!$C$2:$D$235,2,FALSE),"")</f>
        <v>37</v>
      </c>
      <c r="R58" s="32" t="str">
        <f>_xlfn.IFNA(VLOOKUP($C58&amp;","&amp;R3,汇编指令!$C$2:$D$235,2,FALSE),"")</f>
        <v/>
      </c>
      <c r="S58" s="32" t="str">
        <f>_xlfn.IFNA(VLOOKUP($C58&amp;","&amp;S3,汇编指令!$C$2:$D$235,2,FALSE),"")</f>
        <v/>
      </c>
      <c r="T58" s="32" t="str">
        <f>_xlfn.IFNA(VLOOKUP($C58&amp;","&amp;T3,汇编指令!$C$2:$D$235,2,FALSE),"")</f>
        <v/>
      </c>
      <c r="U58" s="32" t="str">
        <f>_xlfn.IFNA(VLOOKUP($C58&amp;","&amp;U3,汇编指令!$C$2:$D$235,2,FALSE),"")</f>
        <v/>
      </c>
      <c r="V58" s="32" t="str">
        <f>_xlfn.IFNA(VLOOKUP($C58&amp;","&amp;V3,汇编指令!$C$2:$D$235,2,FALSE),"")</f>
        <v/>
      </c>
      <c r="W58" s="32" t="str">
        <f>_xlfn.IFNA(VLOOKUP($C58&amp;","&amp;W3,汇编指令!$C$2:$D$235,2,FALSE),"")</f>
        <v/>
      </c>
      <c r="X58" s="32" t="str">
        <f>_xlfn.IFNA(VLOOKUP($C58&amp;","&amp;X3,汇编指令!$C$2:$D$235,2,FALSE),"")</f>
        <v/>
      </c>
      <c r="Y58" s="32" t="str">
        <f>_xlfn.IFNA(VLOOKUP($C58&amp;","&amp;Y3,汇编指令!$C$2:$D$235,2,FALSE),"")</f>
        <v/>
      </c>
      <c r="Z58" s="32" t="str">
        <f>_xlfn.IFNA(VLOOKUP($C58&amp;","&amp;Z3,汇编指令!$C$2:$D$235,2,FALSE),"")</f>
        <v/>
      </c>
      <c r="AA58" s="32" t="str">
        <f>_xlfn.IFNA(VLOOKUP($C58&amp;","&amp;AA3,汇编指令!$C$2:$D$235,2,FALSE),"")</f>
        <v/>
      </c>
      <c r="AB58" s="32" t="str">
        <f>_xlfn.IFNA(VLOOKUP($C58&amp;","&amp;AB3,汇编指令!$C$2:$D$235,2,FALSE),"")</f>
        <v/>
      </c>
    </row>
    <row r="59" ht="20" customHeight="1" spans="1:28">
      <c r="A59" s="16">
        <v>2</v>
      </c>
      <c r="B59" s="21">
        <f t="shared" si="1"/>
        <v>55</v>
      </c>
      <c r="C59" s="24" t="s">
        <v>974</v>
      </c>
      <c r="D59" s="23" t="str">
        <f t="shared" si="2"/>
        <v>37</v>
      </c>
      <c r="E59" s="34" t="str">
        <f>_xlfn.IFNA(VLOOKUP($C59&amp;","&amp;E3,汇编指令!$C$2:$D$235,2,FALSE),"")</f>
        <v/>
      </c>
      <c r="F59" s="33" t="str">
        <f>_xlfn.IFNA(VLOOKUP($C59&amp;","&amp;F3,汇编指令!$C$2:$D$235,2,FALSE),"")</f>
        <v>58</v>
      </c>
      <c r="G59" s="33" t="str">
        <f>_xlfn.IFNA(VLOOKUP($C59&amp;","&amp;G3,汇编指令!$C$2:$D$235,2,FALSE),"")</f>
        <v>59</v>
      </c>
      <c r="H59" s="33" t="str">
        <f>_xlfn.IFNA(VLOOKUP($C59&amp;","&amp;H3,汇编指令!$C$2:$D$235,2,FALSE),"")</f>
        <v>5A</v>
      </c>
      <c r="I59" s="33" t="str">
        <f>_xlfn.IFNA(VLOOKUP($C59&amp;","&amp;I3,汇编指令!$C$2:$D$235,2,FALSE),"")</f>
        <v>5B</v>
      </c>
      <c r="J59" s="33" t="str">
        <f>_xlfn.IFNA(VLOOKUP($C59&amp;","&amp;J3,汇编指令!$C$2:$D$235,2,FALSE),"")</f>
        <v>5C</v>
      </c>
      <c r="K59" s="33" t="str">
        <f>_xlfn.IFNA(VLOOKUP($C59&amp;","&amp;K3,汇编指令!$C$2:$D$235,2,FALSE),"")</f>
        <v>5D</v>
      </c>
      <c r="L59" s="33" t="str">
        <f>_xlfn.IFNA(VLOOKUP($C59&amp;","&amp;L3,汇编指令!$C$2:$D$235,2,FALSE),"")</f>
        <v>5E</v>
      </c>
      <c r="M59" s="33" t="str">
        <f>_xlfn.IFNA(VLOOKUP($C59&amp;","&amp;M3,汇编指令!$C$2:$D$235,2,FALSE),"")</f>
        <v>5F</v>
      </c>
      <c r="N59" s="33" t="str">
        <f>_xlfn.IFNA(VLOOKUP($C59&amp;","&amp;N3,汇编指令!$C$2:$D$235,2,FALSE),"")</f>
        <v>54</v>
      </c>
      <c r="O59" s="33" t="str">
        <f>_xlfn.IFNA(VLOOKUP($C59&amp;","&amp;O3,汇编指令!$C$2:$D$235,2,FALSE),"")</f>
        <v>55</v>
      </c>
      <c r="P59" s="33" t="str">
        <f>_xlfn.IFNA(VLOOKUP($C59&amp;","&amp;P3,汇编指令!$C$2:$D$235,2,FALSE),"")</f>
        <v>56</v>
      </c>
      <c r="Q59" s="33" t="str">
        <f>_xlfn.IFNA(VLOOKUP($C59&amp;","&amp;Q3,汇编指令!$C$2:$D$235,2,FALSE),"")</f>
        <v>57</v>
      </c>
      <c r="R59" s="32" t="str">
        <f>_xlfn.IFNA(VLOOKUP($C59&amp;","&amp;R3,汇编指令!$C$2:$D$235,2,FALSE),"")</f>
        <v/>
      </c>
      <c r="S59" s="32" t="str">
        <f>_xlfn.IFNA(VLOOKUP($C59&amp;","&amp;S3,汇编指令!$C$2:$D$235,2,FALSE),"")</f>
        <v/>
      </c>
      <c r="T59" s="32" t="str">
        <f>_xlfn.IFNA(VLOOKUP($C59&amp;","&amp;T3,汇编指令!$C$2:$D$235,2,FALSE),"")</f>
        <v/>
      </c>
      <c r="U59" s="32" t="str">
        <f>_xlfn.IFNA(VLOOKUP($C59&amp;","&amp;U3,汇编指令!$C$2:$D$235,2,FALSE),"")</f>
        <v/>
      </c>
      <c r="V59" s="32" t="str">
        <f>_xlfn.IFNA(VLOOKUP($C59&amp;","&amp;V3,汇编指令!$C$2:$D$235,2,FALSE),"")</f>
        <v/>
      </c>
      <c r="W59" s="32" t="str">
        <f>_xlfn.IFNA(VLOOKUP($C59&amp;","&amp;W3,汇编指令!$C$2:$D$235,2,FALSE),"")</f>
        <v/>
      </c>
      <c r="X59" s="32" t="str">
        <f>_xlfn.IFNA(VLOOKUP($C59&amp;","&amp;X3,汇编指令!$C$2:$D$235,2,FALSE),"")</f>
        <v/>
      </c>
      <c r="Y59" s="32" t="str">
        <f>_xlfn.IFNA(VLOOKUP($C59&amp;","&amp;Y3,汇编指令!$C$2:$D$235,2,FALSE),"")</f>
        <v/>
      </c>
      <c r="Z59" s="32" t="str">
        <f>_xlfn.IFNA(VLOOKUP($C59&amp;","&amp;Z3,汇编指令!$C$2:$D$235,2,FALSE),"")</f>
        <v/>
      </c>
      <c r="AA59" s="32" t="str">
        <f>_xlfn.IFNA(VLOOKUP($C59&amp;","&amp;AA3,汇编指令!$C$2:$D$235,2,FALSE),"")</f>
        <v/>
      </c>
      <c r="AB59" s="32" t="str">
        <f>_xlfn.IFNA(VLOOKUP($C59&amp;","&amp;AB3,汇编指令!$C$2:$D$235,2,FALSE),"")</f>
        <v/>
      </c>
    </row>
    <row r="60" ht="20" customHeight="1" spans="1:28">
      <c r="A60" s="16">
        <v>2</v>
      </c>
      <c r="B60" s="21">
        <f t="shared" si="1"/>
        <v>56</v>
      </c>
      <c r="C60" s="24" t="s">
        <v>975</v>
      </c>
      <c r="D60" s="23" t="str">
        <f t="shared" si="2"/>
        <v>38</v>
      </c>
      <c r="E60" s="34" t="str">
        <f>_xlfn.IFNA(VLOOKUP($C60&amp;","&amp;E3,汇编指令!$C$2:$D$235,2,FALSE),"")</f>
        <v/>
      </c>
      <c r="F60" s="32" t="str">
        <f>_xlfn.IFNA(VLOOKUP($C60&amp;","&amp;F3,汇编指令!$C$2:$D$235,2,FALSE),"")</f>
        <v/>
      </c>
      <c r="G60" s="32" t="str">
        <f>_xlfn.IFNA(VLOOKUP($C60&amp;","&amp;G3,汇编指令!$C$2:$D$235,2,FALSE),"")</f>
        <v/>
      </c>
      <c r="H60" s="32" t="str">
        <f>_xlfn.IFNA(VLOOKUP($C60&amp;","&amp;H3,汇编指令!$C$2:$D$235,2,FALSE),"")</f>
        <v/>
      </c>
      <c r="I60" s="32" t="str">
        <f>_xlfn.IFNA(VLOOKUP($C60&amp;","&amp;I3,汇编指令!$C$2:$D$235,2,FALSE),"")</f>
        <v/>
      </c>
      <c r="J60" s="32" t="str">
        <f>_xlfn.IFNA(VLOOKUP($C60&amp;","&amp;J3,汇编指令!$C$2:$D$235,2,FALSE),"")</f>
        <v/>
      </c>
      <c r="K60" s="32" t="str">
        <f>_xlfn.IFNA(VLOOKUP($C60&amp;","&amp;K3,汇编指令!$C$2:$D$235,2,FALSE),"")</f>
        <v/>
      </c>
      <c r="L60" s="32" t="str">
        <f>_xlfn.IFNA(VLOOKUP($C60&amp;","&amp;L3,汇编指令!$C$2:$D$235,2,FALSE),"")</f>
        <v/>
      </c>
      <c r="M60" s="32" t="str">
        <f>_xlfn.IFNA(VLOOKUP($C60&amp;","&amp;M3,汇编指令!$C$2:$D$235,2,FALSE),"")</f>
        <v/>
      </c>
      <c r="N60" s="32" t="str">
        <f>_xlfn.IFNA(VLOOKUP($C60&amp;","&amp;N3,汇编指令!$C$2:$D$235,2,FALSE),"")</f>
        <v/>
      </c>
      <c r="O60" s="32" t="str">
        <f>_xlfn.IFNA(VLOOKUP($C60&amp;","&amp;O3,汇编指令!$C$2:$D$235,2,FALSE),"")</f>
        <v/>
      </c>
      <c r="P60" s="32" t="str">
        <f>_xlfn.IFNA(VLOOKUP($C60&amp;","&amp;P3,汇编指令!$C$2:$D$235,2,FALSE),"")</f>
        <v/>
      </c>
      <c r="Q60" s="32" t="str">
        <f>_xlfn.IFNA(VLOOKUP($C60&amp;","&amp;Q3,汇编指令!$C$2:$D$235,2,FALSE),"")</f>
        <v/>
      </c>
      <c r="R60" s="32" t="str">
        <f>_xlfn.IFNA(VLOOKUP($C60&amp;","&amp;R3,汇编指令!$C$2:$D$235,2,FALSE),"")</f>
        <v/>
      </c>
      <c r="S60" s="32" t="str">
        <f>_xlfn.IFNA(VLOOKUP($C60&amp;","&amp;S3,汇编指令!$C$2:$D$235,2,FALSE),"")</f>
        <v/>
      </c>
      <c r="T60" s="32" t="str">
        <f>_xlfn.IFNA(VLOOKUP($C60&amp;","&amp;T3,汇编指令!$C$2:$D$235,2,FALSE),"")</f>
        <v/>
      </c>
      <c r="U60" s="32" t="str">
        <f>_xlfn.IFNA(VLOOKUP($C60&amp;","&amp;U3,汇编指令!$C$2:$D$235,2,FALSE),"")</f>
        <v/>
      </c>
      <c r="V60" s="32" t="str">
        <f>_xlfn.IFNA(VLOOKUP($C60&amp;","&amp;V3,汇编指令!$C$2:$D$235,2,FALSE),"")</f>
        <v/>
      </c>
      <c r="W60" s="32" t="str">
        <f>_xlfn.IFNA(VLOOKUP($C60&amp;","&amp;W3,汇编指令!$C$2:$D$235,2,FALSE),"")</f>
        <v/>
      </c>
      <c r="X60" s="32" t="str">
        <f>_xlfn.IFNA(VLOOKUP($C60&amp;","&amp;X3,汇编指令!$C$2:$D$235,2,FALSE),"")</f>
        <v/>
      </c>
      <c r="Y60" s="33" t="str">
        <f>_xlfn.IFNA(VLOOKUP($C60&amp;","&amp;Y3,汇编指令!$C$2:$D$235,2,FALSE),"")</f>
        <v>82</v>
      </c>
      <c r="Z60" s="32" t="str">
        <f>_xlfn.IFNA(VLOOKUP($C60&amp;","&amp;Z3,汇编指令!$C$2:$D$235,2,FALSE),"")</f>
        <v/>
      </c>
      <c r="AA60" s="32" t="str">
        <f>_xlfn.IFNA(VLOOKUP($C60&amp;","&amp;AA3,汇编指令!$C$2:$D$235,2,FALSE),"")</f>
        <v/>
      </c>
      <c r="AB60" s="33" t="str">
        <f>_xlfn.IFNA(VLOOKUP($C60&amp;","&amp;AB3,汇编指令!$C$2:$D$235,2,FALSE),"")</f>
        <v>B0</v>
      </c>
    </row>
    <row r="61" ht="20" customHeight="1" spans="1:28">
      <c r="A61" s="16">
        <v>2</v>
      </c>
      <c r="B61" s="21">
        <f t="shared" si="1"/>
        <v>57</v>
      </c>
      <c r="C61" s="24" t="s">
        <v>976</v>
      </c>
      <c r="D61" s="23" t="str">
        <f t="shared" si="2"/>
        <v>39</v>
      </c>
      <c r="E61" s="34" t="str">
        <f>_xlfn.IFNA(VLOOKUP($C61&amp;","&amp;E3,汇编指令!$C$2:$D$235,2,FALSE),"")</f>
        <v/>
      </c>
      <c r="F61" s="32" t="str">
        <f>_xlfn.IFNA(VLOOKUP($C61&amp;","&amp;F3,汇编指令!$C$2:$D$235,2,FALSE),"")</f>
        <v/>
      </c>
      <c r="G61" s="32" t="str">
        <f>_xlfn.IFNA(VLOOKUP($C61&amp;","&amp;G3,汇编指令!$C$2:$D$235,2,FALSE),"")</f>
        <v/>
      </c>
      <c r="H61" s="32" t="str">
        <f>_xlfn.IFNA(VLOOKUP($C61&amp;","&amp;H3,汇编指令!$C$2:$D$235,2,FALSE),"")</f>
        <v/>
      </c>
      <c r="I61" s="32" t="str">
        <f>_xlfn.IFNA(VLOOKUP($C61&amp;","&amp;I3,汇编指令!$C$2:$D$235,2,FALSE),"")</f>
        <v/>
      </c>
      <c r="J61" s="32" t="str">
        <f>_xlfn.IFNA(VLOOKUP($C61&amp;","&amp;J3,汇编指令!$C$2:$D$235,2,FALSE),"")</f>
        <v/>
      </c>
      <c r="K61" s="32" t="str">
        <f>_xlfn.IFNA(VLOOKUP($C61&amp;","&amp;K3,汇编指令!$C$2:$D$235,2,FALSE),"")</f>
        <v/>
      </c>
      <c r="L61" s="32" t="str">
        <f>_xlfn.IFNA(VLOOKUP($C61&amp;","&amp;L3,汇编指令!$C$2:$D$235,2,FALSE),"")</f>
        <v/>
      </c>
      <c r="M61" s="32" t="str">
        <f>_xlfn.IFNA(VLOOKUP($C61&amp;","&amp;M3,汇编指令!$C$2:$D$235,2,FALSE),"")</f>
        <v/>
      </c>
      <c r="N61" s="33" t="str">
        <f>_xlfn.IFNA(VLOOKUP($C61&amp;","&amp;N3,汇编指令!$C$2:$D$235,2,FALSE),"")</f>
        <v>52</v>
      </c>
      <c r="O61" s="32" t="str">
        <f>_xlfn.IFNA(VLOOKUP($C61&amp;","&amp;O3,汇编指令!$C$2:$D$235,2,FALSE),"")</f>
        <v/>
      </c>
      <c r="P61" s="32" t="str">
        <f>_xlfn.IFNA(VLOOKUP($C61&amp;","&amp;P3,汇编指令!$C$2:$D$235,2,FALSE),"")</f>
        <v/>
      </c>
      <c r="Q61" s="32" t="str">
        <f>_xlfn.IFNA(VLOOKUP($C61&amp;","&amp;Q3,汇编指令!$C$2:$D$235,2,FALSE),"")</f>
        <v/>
      </c>
      <c r="R61" s="32" t="str">
        <f>_xlfn.IFNA(VLOOKUP($C61&amp;","&amp;R3,汇编指令!$C$2:$D$235,2,FALSE),"")</f>
        <v/>
      </c>
      <c r="S61" s="32" t="str">
        <f>_xlfn.IFNA(VLOOKUP($C61&amp;","&amp;S3,汇编指令!$C$2:$D$235,2,FALSE),"")</f>
        <v/>
      </c>
      <c r="T61" s="32" t="str">
        <f>_xlfn.IFNA(VLOOKUP($C61&amp;","&amp;T3,汇编指令!$C$2:$D$235,2,FALSE),"")</f>
        <v/>
      </c>
      <c r="U61" s="32" t="str">
        <f>_xlfn.IFNA(VLOOKUP($C61&amp;","&amp;U3,汇编指令!$C$2:$D$235,2,FALSE),"")</f>
        <v/>
      </c>
      <c r="V61" s="32" t="str">
        <f>_xlfn.IFNA(VLOOKUP($C61&amp;","&amp;V3,汇编指令!$C$2:$D$235,2,FALSE),"")</f>
        <v/>
      </c>
      <c r="W61" s="32" t="str">
        <f>_xlfn.IFNA(VLOOKUP($C61&amp;","&amp;W3,汇编指令!$C$2:$D$235,2,FALSE),"")</f>
        <v/>
      </c>
      <c r="X61" s="32" t="str">
        <f>_xlfn.IFNA(VLOOKUP($C61&amp;","&amp;X3,汇编指令!$C$2:$D$235,2,FALSE),"")</f>
        <v/>
      </c>
      <c r="Y61" s="32" t="str">
        <f>_xlfn.IFNA(VLOOKUP($C61&amp;","&amp;Y3,汇编指令!$C$2:$D$235,2,FALSE),"")</f>
        <v/>
      </c>
      <c r="Z61" s="32" t="str">
        <f>_xlfn.IFNA(VLOOKUP($C61&amp;","&amp;Z3,汇编指令!$C$2:$D$235,2,FALSE),"")</f>
        <v/>
      </c>
      <c r="AA61" s="32" t="str">
        <f>_xlfn.IFNA(VLOOKUP($C61&amp;","&amp;AA3,汇编指令!$C$2:$D$235,2,FALSE),"")</f>
        <v/>
      </c>
      <c r="AB61" s="32" t="str">
        <f>_xlfn.IFNA(VLOOKUP($C61&amp;","&amp;AB3,汇编指令!$C$2:$D$235,2,FALSE),"")</f>
        <v/>
      </c>
    </row>
    <row r="62" ht="20" customHeight="1" spans="1:28">
      <c r="A62" s="16">
        <v>2</v>
      </c>
      <c r="B62" s="21">
        <f t="shared" si="1"/>
        <v>58</v>
      </c>
      <c r="C62" s="24" t="s">
        <v>977</v>
      </c>
      <c r="D62" s="23" t="str">
        <f t="shared" si="2"/>
        <v>3A</v>
      </c>
      <c r="E62" s="34" t="str">
        <f>_xlfn.IFNA(VLOOKUP($C62&amp;","&amp;E3,汇编指令!$C$2:$D$235,2,FALSE),"")</f>
        <v/>
      </c>
      <c r="F62" s="32" t="str">
        <f>_xlfn.IFNA(VLOOKUP($C62&amp;","&amp;F3,汇编指令!$C$2:$D$235,2,FALSE),"")</f>
        <v/>
      </c>
      <c r="G62" s="32" t="str">
        <f>_xlfn.IFNA(VLOOKUP($C62&amp;","&amp;G3,汇编指令!$C$2:$D$235,2,FALSE),"")</f>
        <v/>
      </c>
      <c r="H62" s="32" t="str">
        <f>_xlfn.IFNA(VLOOKUP($C62&amp;","&amp;H3,汇编指令!$C$2:$D$235,2,FALSE),"")</f>
        <v/>
      </c>
      <c r="I62" s="32" t="str">
        <f>_xlfn.IFNA(VLOOKUP($C62&amp;","&amp;I3,汇编指令!$C$2:$D$235,2,FALSE),"")</f>
        <v/>
      </c>
      <c r="J62" s="32" t="str">
        <f>_xlfn.IFNA(VLOOKUP($C62&amp;","&amp;J3,汇编指令!$C$2:$D$235,2,FALSE),"")</f>
        <v/>
      </c>
      <c r="K62" s="32" t="str">
        <f>_xlfn.IFNA(VLOOKUP($C62&amp;","&amp;K3,汇编指令!$C$2:$D$235,2,FALSE),"")</f>
        <v/>
      </c>
      <c r="L62" s="32" t="str">
        <f>_xlfn.IFNA(VLOOKUP($C62&amp;","&amp;L3,汇编指令!$C$2:$D$235,2,FALSE),"")</f>
        <v/>
      </c>
      <c r="M62" s="32" t="str">
        <f>_xlfn.IFNA(VLOOKUP($C62&amp;","&amp;M3,汇编指令!$C$2:$D$235,2,FALSE),"")</f>
        <v/>
      </c>
      <c r="N62" s="32" t="str">
        <f>_xlfn.IFNA(VLOOKUP($C62&amp;","&amp;N3,汇编指令!$C$2:$D$235,2,FALSE),"")</f>
        <v/>
      </c>
      <c r="O62" s="32" t="str">
        <f>_xlfn.IFNA(VLOOKUP($C62&amp;","&amp;O3,汇编指令!$C$2:$D$235,2,FALSE),"")</f>
        <v/>
      </c>
      <c r="P62" s="32" t="str">
        <f>_xlfn.IFNA(VLOOKUP($C62&amp;","&amp;P3,汇编指令!$C$2:$D$235,2,FALSE),"")</f>
        <v/>
      </c>
      <c r="Q62" s="32" t="str">
        <f>_xlfn.IFNA(VLOOKUP($C62&amp;","&amp;Q3,汇编指令!$C$2:$D$235,2,FALSE),"")</f>
        <v/>
      </c>
      <c r="R62" s="32" t="str">
        <f>_xlfn.IFNA(VLOOKUP($C62&amp;","&amp;R3,汇编指令!$C$2:$D$235,2,FALSE),"")</f>
        <v/>
      </c>
      <c r="S62" s="32" t="str">
        <f>_xlfn.IFNA(VLOOKUP($C62&amp;","&amp;S3,汇编指令!$C$2:$D$235,2,FALSE),"")</f>
        <v/>
      </c>
      <c r="T62" s="32" t="str">
        <f>_xlfn.IFNA(VLOOKUP($C62&amp;","&amp;T3,汇编指令!$C$2:$D$235,2,FALSE),"")</f>
        <v/>
      </c>
      <c r="U62" s="32" t="str">
        <f>_xlfn.IFNA(VLOOKUP($C62&amp;","&amp;U3,汇编指令!$C$2:$D$235,2,FALSE),"")</f>
        <v/>
      </c>
      <c r="V62" s="32" t="str">
        <f>_xlfn.IFNA(VLOOKUP($C62&amp;","&amp;V3,汇编指令!$C$2:$D$235,2,FALSE),"")</f>
        <v/>
      </c>
      <c r="W62" s="32" t="str">
        <f>_xlfn.IFNA(VLOOKUP($C62&amp;","&amp;W3,汇编指令!$C$2:$D$235,2,FALSE),"")</f>
        <v/>
      </c>
      <c r="X62" s="33" t="str">
        <f>_xlfn.IFNA(VLOOKUP($C62&amp;","&amp;X3,汇编指令!$C$2:$D$235,2,FALSE),"")</f>
        <v>D8</v>
      </c>
      <c r="Y62" s="32" t="str">
        <f>_xlfn.IFNA(VLOOKUP($C62&amp;","&amp;Y3,汇编指令!$C$2:$D$235,2,FALSE),"")</f>
        <v/>
      </c>
      <c r="Z62" s="32" t="str">
        <f>_xlfn.IFNA(VLOOKUP($C62&amp;","&amp;Z3,汇编指令!$C$2:$D$235,2,FALSE),"")</f>
        <v/>
      </c>
      <c r="AA62" s="32" t="str">
        <f>_xlfn.IFNA(VLOOKUP($C62&amp;","&amp;AA3,汇编指令!$C$2:$D$235,2,FALSE),"")</f>
        <v/>
      </c>
      <c r="AB62" s="32" t="str">
        <f>_xlfn.IFNA(VLOOKUP($C62&amp;","&amp;AB3,汇编指令!$C$2:$D$235,2,FALSE),"")</f>
        <v/>
      </c>
    </row>
    <row r="63" ht="20" customHeight="1" spans="1:28">
      <c r="A63" s="16">
        <v>2</v>
      </c>
      <c r="B63" s="21">
        <f t="shared" si="1"/>
        <v>59</v>
      </c>
      <c r="C63" s="24" t="s">
        <v>978</v>
      </c>
      <c r="D63" s="23" t="str">
        <f t="shared" si="2"/>
        <v>3B</v>
      </c>
      <c r="E63" s="34" t="str">
        <f>_xlfn.IFNA(VLOOKUP($C63&amp;","&amp;E3,汇编指令!$C$2:$D$235,2,FALSE),"")</f>
        <v/>
      </c>
      <c r="F63" s="32" t="str">
        <f>_xlfn.IFNA(VLOOKUP($C63&amp;","&amp;F3,汇编指令!$C$2:$D$235,2,FALSE),"")</f>
        <v/>
      </c>
      <c r="G63" s="32" t="str">
        <f>_xlfn.IFNA(VLOOKUP($C63&amp;","&amp;G3,汇编指令!$C$2:$D$235,2,FALSE),"")</f>
        <v/>
      </c>
      <c r="H63" s="32" t="str">
        <f>_xlfn.IFNA(VLOOKUP($C63&amp;","&amp;H3,汇编指令!$C$2:$D$235,2,FALSE),"")</f>
        <v/>
      </c>
      <c r="I63" s="32" t="str">
        <f>_xlfn.IFNA(VLOOKUP($C63&amp;","&amp;I3,汇编指令!$C$2:$D$235,2,FALSE),"")</f>
        <v/>
      </c>
      <c r="J63" s="32" t="str">
        <f>_xlfn.IFNA(VLOOKUP($C63&amp;","&amp;J3,汇编指令!$C$2:$D$235,2,FALSE),"")</f>
        <v/>
      </c>
      <c r="K63" s="32" t="str">
        <f>_xlfn.IFNA(VLOOKUP($C63&amp;","&amp;K3,汇编指令!$C$2:$D$235,2,FALSE),"")</f>
        <v/>
      </c>
      <c r="L63" s="32" t="str">
        <f>_xlfn.IFNA(VLOOKUP($C63&amp;","&amp;L3,汇编指令!$C$2:$D$235,2,FALSE),"")</f>
        <v/>
      </c>
      <c r="M63" s="32" t="str">
        <f>_xlfn.IFNA(VLOOKUP($C63&amp;","&amp;M3,汇编指令!$C$2:$D$235,2,FALSE),"")</f>
        <v/>
      </c>
      <c r="N63" s="32" t="str">
        <f>_xlfn.IFNA(VLOOKUP($C63&amp;","&amp;N3,汇编指令!$C$2:$D$235,2,FALSE),"")</f>
        <v/>
      </c>
      <c r="O63" s="32" t="str">
        <f>_xlfn.IFNA(VLOOKUP($C63&amp;","&amp;O3,汇编指令!$C$2:$D$235,2,FALSE),"")</f>
        <v/>
      </c>
      <c r="P63" s="32" t="str">
        <f>_xlfn.IFNA(VLOOKUP($C63&amp;","&amp;P3,汇编指令!$C$2:$D$235,2,FALSE),"")</f>
        <v/>
      </c>
      <c r="Q63" s="32" t="str">
        <f>_xlfn.IFNA(VLOOKUP($C63&amp;","&amp;Q3,汇编指令!$C$2:$D$235,2,FALSE),"")</f>
        <v/>
      </c>
      <c r="R63" s="32" t="str">
        <f>_xlfn.IFNA(VLOOKUP($C63&amp;","&amp;R3,汇编指令!$C$2:$D$235,2,FALSE),"")</f>
        <v/>
      </c>
      <c r="S63" s="32" t="str">
        <f>_xlfn.IFNA(VLOOKUP($C63&amp;","&amp;S3,汇编指令!$C$2:$D$235,2,FALSE),"")</f>
        <v/>
      </c>
      <c r="T63" s="32" t="str">
        <f>_xlfn.IFNA(VLOOKUP($C63&amp;","&amp;T3,汇编指令!$C$2:$D$235,2,FALSE),"")</f>
        <v/>
      </c>
      <c r="U63" s="32" t="str">
        <f>_xlfn.IFNA(VLOOKUP($C63&amp;","&amp;U3,汇编指令!$C$2:$D$235,2,FALSE),"")</f>
        <v/>
      </c>
      <c r="V63" s="32" t="str">
        <f>_xlfn.IFNA(VLOOKUP($C63&amp;","&amp;V3,汇编指令!$C$2:$D$235,2,FALSE),"")</f>
        <v/>
      </c>
      <c r="W63" s="32" t="str">
        <f>_xlfn.IFNA(VLOOKUP($C63&amp;","&amp;W3,汇编指令!$C$2:$D$235,2,FALSE),"")</f>
        <v/>
      </c>
      <c r="X63" s="33" t="str">
        <f>_xlfn.IFNA(VLOOKUP($C63&amp;","&amp;X3,汇编指令!$C$2:$D$235,2,FALSE),"")</f>
        <v>D9</v>
      </c>
      <c r="Y63" s="32" t="str">
        <f>_xlfn.IFNA(VLOOKUP($C63&amp;","&amp;Y3,汇编指令!$C$2:$D$235,2,FALSE),"")</f>
        <v/>
      </c>
      <c r="Z63" s="32" t="str">
        <f>_xlfn.IFNA(VLOOKUP($C63&amp;","&amp;Z3,汇编指令!$C$2:$D$235,2,FALSE),"")</f>
        <v/>
      </c>
      <c r="AA63" s="32" t="str">
        <f>_xlfn.IFNA(VLOOKUP($C63&amp;","&amp;AA3,汇编指令!$C$2:$D$235,2,FALSE),"")</f>
        <v/>
      </c>
      <c r="AB63" s="32" t="str">
        <f>_xlfn.IFNA(VLOOKUP($C63&amp;","&amp;AB3,汇编指令!$C$2:$D$235,2,FALSE),"")</f>
        <v/>
      </c>
    </row>
    <row r="64" ht="20" customHeight="1" spans="1:28">
      <c r="A64" s="16">
        <v>2</v>
      </c>
      <c r="B64" s="21">
        <f t="shared" si="1"/>
        <v>60</v>
      </c>
      <c r="C64" s="24" t="s">
        <v>979</v>
      </c>
      <c r="D64" s="23" t="str">
        <f t="shared" si="2"/>
        <v>3C</v>
      </c>
      <c r="E64" s="34" t="str">
        <f>_xlfn.IFNA(VLOOKUP($C64&amp;","&amp;E3,汇编指令!$C$2:$D$235,2,FALSE),"")</f>
        <v/>
      </c>
      <c r="F64" s="32" t="str">
        <f>_xlfn.IFNA(VLOOKUP($C64&amp;","&amp;F3,汇编指令!$C$2:$D$235,2,FALSE),"")</f>
        <v/>
      </c>
      <c r="G64" s="32" t="str">
        <f>_xlfn.IFNA(VLOOKUP($C64&amp;","&amp;G3,汇编指令!$C$2:$D$235,2,FALSE),"")</f>
        <v/>
      </c>
      <c r="H64" s="32" t="str">
        <f>_xlfn.IFNA(VLOOKUP($C64&amp;","&amp;H3,汇编指令!$C$2:$D$235,2,FALSE),"")</f>
        <v/>
      </c>
      <c r="I64" s="32" t="str">
        <f>_xlfn.IFNA(VLOOKUP($C64&amp;","&amp;I3,汇编指令!$C$2:$D$235,2,FALSE),"")</f>
        <v/>
      </c>
      <c r="J64" s="32" t="str">
        <f>_xlfn.IFNA(VLOOKUP($C64&amp;","&amp;J3,汇编指令!$C$2:$D$235,2,FALSE),"")</f>
        <v/>
      </c>
      <c r="K64" s="32" t="str">
        <f>_xlfn.IFNA(VLOOKUP($C64&amp;","&amp;K3,汇编指令!$C$2:$D$235,2,FALSE),"")</f>
        <v/>
      </c>
      <c r="L64" s="32" t="str">
        <f>_xlfn.IFNA(VLOOKUP($C64&amp;","&amp;L3,汇编指令!$C$2:$D$235,2,FALSE),"")</f>
        <v/>
      </c>
      <c r="M64" s="32" t="str">
        <f>_xlfn.IFNA(VLOOKUP($C64&amp;","&amp;M3,汇编指令!$C$2:$D$235,2,FALSE),"")</f>
        <v/>
      </c>
      <c r="N64" s="32" t="str">
        <f>_xlfn.IFNA(VLOOKUP($C64&amp;","&amp;N3,汇编指令!$C$2:$D$235,2,FALSE),"")</f>
        <v/>
      </c>
      <c r="O64" s="32" t="str">
        <f>_xlfn.IFNA(VLOOKUP($C64&amp;","&amp;O3,汇编指令!$C$2:$D$235,2,FALSE),"")</f>
        <v/>
      </c>
      <c r="P64" s="32" t="str">
        <f>_xlfn.IFNA(VLOOKUP($C64&amp;","&amp;P3,汇编指令!$C$2:$D$235,2,FALSE),"")</f>
        <v/>
      </c>
      <c r="Q64" s="32" t="str">
        <f>_xlfn.IFNA(VLOOKUP($C64&amp;","&amp;Q3,汇编指令!$C$2:$D$235,2,FALSE),"")</f>
        <v/>
      </c>
      <c r="R64" s="32" t="str">
        <f>_xlfn.IFNA(VLOOKUP($C64&amp;","&amp;R3,汇编指令!$C$2:$D$235,2,FALSE),"")</f>
        <v/>
      </c>
      <c r="S64" s="32" t="str">
        <f>_xlfn.IFNA(VLOOKUP($C64&amp;","&amp;S3,汇编指令!$C$2:$D$235,2,FALSE),"")</f>
        <v/>
      </c>
      <c r="T64" s="32" t="str">
        <f>_xlfn.IFNA(VLOOKUP($C64&amp;","&amp;T3,汇编指令!$C$2:$D$235,2,FALSE),"")</f>
        <v/>
      </c>
      <c r="U64" s="32" t="str">
        <f>_xlfn.IFNA(VLOOKUP($C64&amp;","&amp;U3,汇编指令!$C$2:$D$235,2,FALSE),"")</f>
        <v/>
      </c>
      <c r="V64" s="32" t="str">
        <f>_xlfn.IFNA(VLOOKUP($C64&amp;","&amp;V3,汇编指令!$C$2:$D$235,2,FALSE),"")</f>
        <v/>
      </c>
      <c r="W64" s="32" t="str">
        <f>_xlfn.IFNA(VLOOKUP($C64&amp;","&amp;W3,汇编指令!$C$2:$D$235,2,FALSE),"")</f>
        <v/>
      </c>
      <c r="X64" s="33" t="str">
        <f>_xlfn.IFNA(VLOOKUP($C64&amp;","&amp;X3,汇编指令!$C$2:$D$235,2,FALSE),"")</f>
        <v>DA</v>
      </c>
      <c r="Y64" s="32" t="str">
        <f>_xlfn.IFNA(VLOOKUP($C64&amp;","&amp;Y3,汇编指令!$C$2:$D$235,2,FALSE),"")</f>
        <v/>
      </c>
      <c r="Z64" s="32" t="str">
        <f>_xlfn.IFNA(VLOOKUP($C64&amp;","&amp;Z3,汇编指令!$C$2:$D$235,2,FALSE),"")</f>
        <v/>
      </c>
      <c r="AA64" s="32" t="str">
        <f>_xlfn.IFNA(VLOOKUP($C64&amp;","&amp;AA3,汇编指令!$C$2:$D$235,2,FALSE),"")</f>
        <v/>
      </c>
      <c r="AB64" s="32" t="str">
        <f>_xlfn.IFNA(VLOOKUP($C64&amp;","&amp;AB3,汇编指令!$C$2:$D$235,2,FALSE),"")</f>
        <v/>
      </c>
    </row>
    <row r="65" ht="20" customHeight="1" spans="1:28">
      <c r="A65" s="16">
        <v>2</v>
      </c>
      <c r="B65" s="21">
        <f t="shared" si="1"/>
        <v>61</v>
      </c>
      <c r="C65" s="24" t="s">
        <v>980</v>
      </c>
      <c r="D65" s="23" t="str">
        <f t="shared" si="2"/>
        <v>3D</v>
      </c>
      <c r="E65" s="34" t="str">
        <f>_xlfn.IFNA(VLOOKUP($C65&amp;","&amp;E3,汇编指令!$C$2:$D$235,2,FALSE),"")</f>
        <v/>
      </c>
      <c r="F65" s="32" t="str">
        <f>_xlfn.IFNA(VLOOKUP($C65&amp;","&amp;F3,汇编指令!$C$2:$D$235,2,FALSE),"")</f>
        <v/>
      </c>
      <c r="G65" s="32" t="str">
        <f>_xlfn.IFNA(VLOOKUP($C65&amp;","&amp;G3,汇编指令!$C$2:$D$235,2,FALSE),"")</f>
        <v/>
      </c>
      <c r="H65" s="32" t="str">
        <f>_xlfn.IFNA(VLOOKUP($C65&amp;","&amp;H3,汇编指令!$C$2:$D$235,2,FALSE),"")</f>
        <v/>
      </c>
      <c r="I65" s="32" t="str">
        <f>_xlfn.IFNA(VLOOKUP($C65&amp;","&amp;I3,汇编指令!$C$2:$D$235,2,FALSE),"")</f>
        <v/>
      </c>
      <c r="J65" s="32" t="str">
        <f>_xlfn.IFNA(VLOOKUP($C65&amp;","&amp;J3,汇编指令!$C$2:$D$235,2,FALSE),"")</f>
        <v/>
      </c>
      <c r="K65" s="32" t="str">
        <f>_xlfn.IFNA(VLOOKUP($C65&amp;","&amp;K3,汇编指令!$C$2:$D$235,2,FALSE),"")</f>
        <v/>
      </c>
      <c r="L65" s="32" t="str">
        <f>_xlfn.IFNA(VLOOKUP($C65&amp;","&amp;L3,汇编指令!$C$2:$D$235,2,FALSE),"")</f>
        <v/>
      </c>
      <c r="M65" s="32" t="str">
        <f>_xlfn.IFNA(VLOOKUP($C65&amp;","&amp;M3,汇编指令!$C$2:$D$235,2,FALSE),"")</f>
        <v/>
      </c>
      <c r="N65" s="32" t="str">
        <f>_xlfn.IFNA(VLOOKUP($C65&amp;","&amp;N3,汇编指令!$C$2:$D$235,2,FALSE),"")</f>
        <v/>
      </c>
      <c r="O65" s="32" t="str">
        <f>_xlfn.IFNA(VLOOKUP($C65&amp;","&amp;O3,汇编指令!$C$2:$D$235,2,FALSE),"")</f>
        <v/>
      </c>
      <c r="P65" s="32" t="str">
        <f>_xlfn.IFNA(VLOOKUP($C65&amp;","&amp;P3,汇编指令!$C$2:$D$235,2,FALSE),"")</f>
        <v/>
      </c>
      <c r="Q65" s="32" t="str">
        <f>_xlfn.IFNA(VLOOKUP($C65&amp;","&amp;Q3,汇编指令!$C$2:$D$235,2,FALSE),"")</f>
        <v/>
      </c>
      <c r="R65" s="32" t="str">
        <f>_xlfn.IFNA(VLOOKUP($C65&amp;","&amp;R3,汇编指令!$C$2:$D$235,2,FALSE),"")</f>
        <v/>
      </c>
      <c r="S65" s="32" t="str">
        <f>_xlfn.IFNA(VLOOKUP($C65&amp;","&amp;S3,汇编指令!$C$2:$D$235,2,FALSE),"")</f>
        <v/>
      </c>
      <c r="T65" s="32" t="str">
        <f>_xlfn.IFNA(VLOOKUP($C65&amp;","&amp;T3,汇编指令!$C$2:$D$235,2,FALSE),"")</f>
        <v/>
      </c>
      <c r="U65" s="32" t="str">
        <f>_xlfn.IFNA(VLOOKUP($C65&amp;","&amp;U3,汇编指令!$C$2:$D$235,2,FALSE),"")</f>
        <v/>
      </c>
      <c r="V65" s="32" t="str">
        <f>_xlfn.IFNA(VLOOKUP($C65&amp;","&amp;V3,汇编指令!$C$2:$D$235,2,FALSE),"")</f>
        <v/>
      </c>
      <c r="W65" s="32" t="str">
        <f>_xlfn.IFNA(VLOOKUP($C65&amp;","&amp;W3,汇编指令!$C$2:$D$235,2,FALSE),"")</f>
        <v/>
      </c>
      <c r="X65" s="33" t="str">
        <f>_xlfn.IFNA(VLOOKUP($C65&amp;","&amp;X3,汇编指令!$C$2:$D$235,2,FALSE),"")</f>
        <v>DB</v>
      </c>
      <c r="Y65" s="32" t="str">
        <f>_xlfn.IFNA(VLOOKUP($C65&amp;","&amp;Y3,汇编指令!$C$2:$D$235,2,FALSE),"")</f>
        <v/>
      </c>
      <c r="Z65" s="32" t="str">
        <f>_xlfn.IFNA(VLOOKUP($C65&amp;","&amp;Z3,汇编指令!$C$2:$D$235,2,FALSE),"")</f>
        <v/>
      </c>
      <c r="AA65" s="32" t="str">
        <f>_xlfn.IFNA(VLOOKUP($C65&amp;","&amp;AA3,汇编指令!$C$2:$D$235,2,FALSE),"")</f>
        <v/>
      </c>
      <c r="AB65" s="32" t="str">
        <f>_xlfn.IFNA(VLOOKUP($C65&amp;","&amp;AB3,汇编指令!$C$2:$D$235,2,FALSE),"")</f>
        <v/>
      </c>
    </row>
    <row r="66" ht="20" customHeight="1" spans="1:28">
      <c r="A66" s="16">
        <v>2</v>
      </c>
      <c r="B66" s="21">
        <f t="shared" si="1"/>
        <v>62</v>
      </c>
      <c r="C66" s="24" t="s">
        <v>981</v>
      </c>
      <c r="D66" s="23" t="str">
        <f t="shared" si="2"/>
        <v>3E</v>
      </c>
      <c r="E66" s="34" t="str">
        <f>_xlfn.IFNA(VLOOKUP($C66&amp;","&amp;E3,汇编指令!$C$2:$D$235,2,FALSE),"")</f>
        <v/>
      </c>
      <c r="F66" s="32" t="str">
        <f>_xlfn.IFNA(VLOOKUP($C66&amp;","&amp;F3,汇编指令!$C$2:$D$235,2,FALSE),"")</f>
        <v/>
      </c>
      <c r="G66" s="32" t="str">
        <f>_xlfn.IFNA(VLOOKUP($C66&amp;","&amp;G3,汇编指令!$C$2:$D$235,2,FALSE),"")</f>
        <v/>
      </c>
      <c r="H66" s="32" t="str">
        <f>_xlfn.IFNA(VLOOKUP($C66&amp;","&amp;H3,汇编指令!$C$2:$D$235,2,FALSE),"")</f>
        <v/>
      </c>
      <c r="I66" s="32" t="str">
        <f>_xlfn.IFNA(VLOOKUP($C66&amp;","&amp;I3,汇编指令!$C$2:$D$235,2,FALSE),"")</f>
        <v/>
      </c>
      <c r="J66" s="32" t="str">
        <f>_xlfn.IFNA(VLOOKUP($C66&amp;","&amp;J3,汇编指令!$C$2:$D$235,2,FALSE),"")</f>
        <v/>
      </c>
      <c r="K66" s="32" t="str">
        <f>_xlfn.IFNA(VLOOKUP($C66&amp;","&amp;K3,汇编指令!$C$2:$D$235,2,FALSE),"")</f>
        <v/>
      </c>
      <c r="L66" s="32" t="str">
        <f>_xlfn.IFNA(VLOOKUP($C66&amp;","&amp;L3,汇编指令!$C$2:$D$235,2,FALSE),"")</f>
        <v/>
      </c>
      <c r="M66" s="32" t="str">
        <f>_xlfn.IFNA(VLOOKUP($C66&amp;","&amp;M3,汇编指令!$C$2:$D$235,2,FALSE),"")</f>
        <v/>
      </c>
      <c r="N66" s="32" t="str">
        <f>_xlfn.IFNA(VLOOKUP($C66&amp;","&amp;N3,汇编指令!$C$2:$D$235,2,FALSE),"")</f>
        <v/>
      </c>
      <c r="O66" s="32" t="str">
        <f>_xlfn.IFNA(VLOOKUP($C66&amp;","&amp;O3,汇编指令!$C$2:$D$235,2,FALSE),"")</f>
        <v/>
      </c>
      <c r="P66" s="32" t="str">
        <f>_xlfn.IFNA(VLOOKUP($C66&amp;","&amp;P3,汇编指令!$C$2:$D$235,2,FALSE),"")</f>
        <v/>
      </c>
      <c r="Q66" s="32" t="str">
        <f>_xlfn.IFNA(VLOOKUP($C66&amp;","&amp;Q3,汇编指令!$C$2:$D$235,2,FALSE),"")</f>
        <v/>
      </c>
      <c r="R66" s="32" t="str">
        <f>_xlfn.IFNA(VLOOKUP($C66&amp;","&amp;R3,汇编指令!$C$2:$D$235,2,FALSE),"")</f>
        <v/>
      </c>
      <c r="S66" s="32" t="str">
        <f>_xlfn.IFNA(VLOOKUP($C66&amp;","&amp;S3,汇编指令!$C$2:$D$235,2,FALSE),"")</f>
        <v/>
      </c>
      <c r="T66" s="32" t="str">
        <f>_xlfn.IFNA(VLOOKUP($C66&amp;","&amp;T3,汇编指令!$C$2:$D$235,2,FALSE),"")</f>
        <v/>
      </c>
      <c r="U66" s="32" t="str">
        <f>_xlfn.IFNA(VLOOKUP($C66&amp;","&amp;U3,汇编指令!$C$2:$D$235,2,FALSE),"")</f>
        <v/>
      </c>
      <c r="V66" s="32" t="str">
        <f>_xlfn.IFNA(VLOOKUP($C66&amp;","&amp;V3,汇编指令!$C$2:$D$235,2,FALSE),"")</f>
        <v/>
      </c>
      <c r="W66" s="32" t="str">
        <f>_xlfn.IFNA(VLOOKUP($C66&amp;","&amp;W3,汇编指令!$C$2:$D$235,2,FALSE),"")</f>
        <v/>
      </c>
      <c r="X66" s="33" t="str">
        <f>_xlfn.IFNA(VLOOKUP($C66&amp;","&amp;X3,汇编指令!$C$2:$D$235,2,FALSE),"")</f>
        <v>DC</v>
      </c>
      <c r="Y66" s="32" t="str">
        <f>_xlfn.IFNA(VLOOKUP($C66&amp;","&amp;Y3,汇编指令!$C$2:$D$235,2,FALSE),"")</f>
        <v/>
      </c>
      <c r="Z66" s="32" t="str">
        <f>_xlfn.IFNA(VLOOKUP($C66&amp;","&amp;Z3,汇编指令!$C$2:$D$235,2,FALSE),"")</f>
        <v/>
      </c>
      <c r="AA66" s="32" t="str">
        <f>_xlfn.IFNA(VLOOKUP($C66&amp;","&amp;AA3,汇编指令!$C$2:$D$235,2,FALSE),"")</f>
        <v/>
      </c>
      <c r="AB66" s="32" t="str">
        <f>_xlfn.IFNA(VLOOKUP($C66&amp;","&amp;AB3,汇编指令!$C$2:$D$235,2,FALSE),"")</f>
        <v/>
      </c>
    </row>
    <row r="67" ht="20" customHeight="1" spans="1:28">
      <c r="A67" s="16">
        <v>2</v>
      </c>
      <c r="B67" s="21">
        <f t="shared" si="1"/>
        <v>63</v>
      </c>
      <c r="C67" s="24" t="s">
        <v>982</v>
      </c>
      <c r="D67" s="23" t="str">
        <f t="shared" si="2"/>
        <v>3F</v>
      </c>
      <c r="E67" s="34" t="str">
        <f>_xlfn.IFNA(VLOOKUP($C67&amp;","&amp;E3,汇编指令!$C$2:$D$235,2,FALSE),"")</f>
        <v/>
      </c>
      <c r="F67" s="32" t="str">
        <f>_xlfn.IFNA(VLOOKUP($C67&amp;","&amp;F3,汇编指令!$C$2:$D$235,2,FALSE),"")</f>
        <v/>
      </c>
      <c r="G67" s="32" t="str">
        <f>_xlfn.IFNA(VLOOKUP($C67&amp;","&amp;G3,汇编指令!$C$2:$D$235,2,FALSE),"")</f>
        <v/>
      </c>
      <c r="H67" s="32" t="str">
        <f>_xlfn.IFNA(VLOOKUP($C67&amp;","&amp;H3,汇编指令!$C$2:$D$235,2,FALSE),"")</f>
        <v/>
      </c>
      <c r="I67" s="32" t="str">
        <f>_xlfn.IFNA(VLOOKUP($C67&amp;","&amp;I3,汇编指令!$C$2:$D$235,2,FALSE),"")</f>
        <v/>
      </c>
      <c r="J67" s="32" t="str">
        <f>_xlfn.IFNA(VLOOKUP($C67&amp;","&amp;J3,汇编指令!$C$2:$D$235,2,FALSE),"")</f>
        <v/>
      </c>
      <c r="K67" s="32" t="str">
        <f>_xlfn.IFNA(VLOOKUP($C67&amp;","&amp;K3,汇编指令!$C$2:$D$235,2,FALSE),"")</f>
        <v/>
      </c>
      <c r="L67" s="32" t="str">
        <f>_xlfn.IFNA(VLOOKUP($C67&amp;","&amp;L3,汇编指令!$C$2:$D$235,2,FALSE),"")</f>
        <v/>
      </c>
      <c r="M67" s="32" t="str">
        <f>_xlfn.IFNA(VLOOKUP($C67&amp;","&amp;M3,汇编指令!$C$2:$D$235,2,FALSE),"")</f>
        <v/>
      </c>
      <c r="N67" s="32" t="str">
        <f>_xlfn.IFNA(VLOOKUP($C67&amp;","&amp;N3,汇编指令!$C$2:$D$235,2,FALSE),"")</f>
        <v/>
      </c>
      <c r="O67" s="32" t="str">
        <f>_xlfn.IFNA(VLOOKUP($C67&amp;","&amp;O3,汇编指令!$C$2:$D$235,2,FALSE),"")</f>
        <v/>
      </c>
      <c r="P67" s="32" t="str">
        <f>_xlfn.IFNA(VLOOKUP($C67&amp;","&amp;P3,汇编指令!$C$2:$D$235,2,FALSE),"")</f>
        <v/>
      </c>
      <c r="Q67" s="32" t="str">
        <f>_xlfn.IFNA(VLOOKUP($C67&amp;","&amp;Q3,汇编指令!$C$2:$D$235,2,FALSE),"")</f>
        <v/>
      </c>
      <c r="R67" s="32" t="str">
        <f>_xlfn.IFNA(VLOOKUP($C67&amp;","&amp;R3,汇编指令!$C$2:$D$235,2,FALSE),"")</f>
        <v/>
      </c>
      <c r="S67" s="32" t="str">
        <f>_xlfn.IFNA(VLOOKUP($C67&amp;","&amp;S3,汇编指令!$C$2:$D$235,2,FALSE),"")</f>
        <v/>
      </c>
      <c r="T67" s="32" t="str">
        <f>_xlfn.IFNA(VLOOKUP($C67&amp;","&amp;T3,汇编指令!$C$2:$D$235,2,FALSE),"")</f>
        <v/>
      </c>
      <c r="U67" s="32" t="str">
        <f>_xlfn.IFNA(VLOOKUP($C67&amp;","&amp;U3,汇编指令!$C$2:$D$235,2,FALSE),"")</f>
        <v/>
      </c>
      <c r="V67" s="32" t="str">
        <f>_xlfn.IFNA(VLOOKUP($C67&amp;","&amp;V3,汇编指令!$C$2:$D$235,2,FALSE),"")</f>
        <v/>
      </c>
      <c r="W67" s="32" t="str">
        <f>_xlfn.IFNA(VLOOKUP($C67&amp;","&amp;W3,汇编指令!$C$2:$D$235,2,FALSE),"")</f>
        <v/>
      </c>
      <c r="X67" s="33" t="str">
        <f>_xlfn.IFNA(VLOOKUP($C67&amp;","&amp;X3,汇编指令!$C$2:$D$235,2,FALSE),"")</f>
        <v>DD</v>
      </c>
      <c r="Y67" s="32" t="str">
        <f>_xlfn.IFNA(VLOOKUP($C67&amp;","&amp;Y3,汇编指令!$C$2:$D$235,2,FALSE),"")</f>
        <v/>
      </c>
      <c r="Z67" s="32" t="str">
        <f>_xlfn.IFNA(VLOOKUP($C67&amp;","&amp;Z3,汇编指令!$C$2:$D$235,2,FALSE),"")</f>
        <v/>
      </c>
      <c r="AA67" s="32" t="str">
        <f>_xlfn.IFNA(VLOOKUP($C67&amp;","&amp;AA3,汇编指令!$C$2:$D$235,2,FALSE),"")</f>
        <v/>
      </c>
      <c r="AB67" s="32" t="str">
        <f>_xlfn.IFNA(VLOOKUP($C67&amp;","&amp;AB3,汇编指令!$C$2:$D$235,2,FALSE),"")</f>
        <v/>
      </c>
    </row>
    <row r="68" ht="20" customHeight="1" spans="1:28">
      <c r="A68" s="16">
        <v>2</v>
      </c>
      <c r="B68" s="21">
        <f t="shared" ref="B68:B112" si="3">ROW()-4</f>
        <v>64</v>
      </c>
      <c r="C68" s="24" t="s">
        <v>983</v>
      </c>
      <c r="D68" s="23" t="str">
        <f t="shared" ref="D68:D112" si="4">DEC2HEX(B68)</f>
        <v>40</v>
      </c>
      <c r="E68" s="34" t="str">
        <f>_xlfn.IFNA(VLOOKUP($C68&amp;","&amp;E3,汇编指令!$C$2:$D$235,2,FALSE),"")</f>
        <v/>
      </c>
      <c r="F68" s="32" t="str">
        <f>_xlfn.IFNA(VLOOKUP($C68&amp;","&amp;F3,汇编指令!$C$2:$D$235,2,FALSE),"")</f>
        <v/>
      </c>
      <c r="G68" s="32" t="str">
        <f>_xlfn.IFNA(VLOOKUP($C68&amp;","&amp;G3,汇编指令!$C$2:$D$235,2,FALSE),"")</f>
        <v/>
      </c>
      <c r="H68" s="32" t="str">
        <f>_xlfn.IFNA(VLOOKUP($C68&amp;","&amp;H3,汇编指令!$C$2:$D$235,2,FALSE),"")</f>
        <v/>
      </c>
      <c r="I68" s="32" t="str">
        <f>_xlfn.IFNA(VLOOKUP($C68&amp;","&amp;I3,汇编指令!$C$2:$D$235,2,FALSE),"")</f>
        <v/>
      </c>
      <c r="J68" s="32" t="str">
        <f>_xlfn.IFNA(VLOOKUP($C68&amp;","&amp;J3,汇编指令!$C$2:$D$235,2,FALSE),"")</f>
        <v/>
      </c>
      <c r="K68" s="32" t="str">
        <f>_xlfn.IFNA(VLOOKUP($C68&amp;","&amp;K3,汇编指令!$C$2:$D$235,2,FALSE),"")</f>
        <v/>
      </c>
      <c r="L68" s="32" t="str">
        <f>_xlfn.IFNA(VLOOKUP($C68&amp;","&amp;L3,汇编指令!$C$2:$D$235,2,FALSE),"")</f>
        <v/>
      </c>
      <c r="M68" s="32" t="str">
        <f>_xlfn.IFNA(VLOOKUP($C68&amp;","&amp;M3,汇编指令!$C$2:$D$235,2,FALSE),"")</f>
        <v/>
      </c>
      <c r="N68" s="32" t="str">
        <f>_xlfn.IFNA(VLOOKUP($C68&amp;","&amp;N3,汇编指令!$C$2:$D$235,2,FALSE),"")</f>
        <v/>
      </c>
      <c r="O68" s="32" t="str">
        <f>_xlfn.IFNA(VLOOKUP($C68&amp;","&amp;O3,汇编指令!$C$2:$D$235,2,FALSE),"")</f>
        <v/>
      </c>
      <c r="P68" s="32" t="str">
        <f>_xlfn.IFNA(VLOOKUP($C68&amp;","&amp;P3,汇编指令!$C$2:$D$235,2,FALSE),"")</f>
        <v/>
      </c>
      <c r="Q68" s="32" t="str">
        <f>_xlfn.IFNA(VLOOKUP($C68&amp;","&amp;Q3,汇编指令!$C$2:$D$235,2,FALSE),"")</f>
        <v/>
      </c>
      <c r="R68" s="32" t="str">
        <f>_xlfn.IFNA(VLOOKUP($C68&amp;","&amp;R3,汇编指令!$C$2:$D$235,2,FALSE),"")</f>
        <v/>
      </c>
      <c r="S68" s="32" t="str">
        <f>_xlfn.IFNA(VLOOKUP($C68&amp;","&amp;S3,汇编指令!$C$2:$D$235,2,FALSE),"")</f>
        <v/>
      </c>
      <c r="T68" s="32" t="str">
        <f>_xlfn.IFNA(VLOOKUP($C68&amp;","&amp;T3,汇编指令!$C$2:$D$235,2,FALSE),"")</f>
        <v/>
      </c>
      <c r="U68" s="32" t="str">
        <f>_xlfn.IFNA(VLOOKUP($C68&amp;","&amp;U3,汇编指令!$C$2:$D$235,2,FALSE),"")</f>
        <v/>
      </c>
      <c r="V68" s="32" t="str">
        <f>_xlfn.IFNA(VLOOKUP($C68&amp;","&amp;V3,汇编指令!$C$2:$D$235,2,FALSE),"")</f>
        <v/>
      </c>
      <c r="W68" s="32" t="str">
        <f>_xlfn.IFNA(VLOOKUP($C68&amp;","&amp;W3,汇编指令!$C$2:$D$235,2,FALSE),"")</f>
        <v/>
      </c>
      <c r="X68" s="33" t="str">
        <f>_xlfn.IFNA(VLOOKUP($C68&amp;","&amp;X3,汇编指令!$C$2:$D$235,2,FALSE),"")</f>
        <v>DE</v>
      </c>
      <c r="Y68" s="32" t="str">
        <f>_xlfn.IFNA(VLOOKUP($C68&amp;","&amp;Y3,汇编指令!$C$2:$D$235,2,FALSE),"")</f>
        <v/>
      </c>
      <c r="Z68" s="32" t="str">
        <f>_xlfn.IFNA(VLOOKUP($C68&amp;","&amp;Z3,汇编指令!$C$2:$D$235,2,FALSE),"")</f>
        <v/>
      </c>
      <c r="AA68" s="32" t="str">
        <f>_xlfn.IFNA(VLOOKUP($C68&amp;","&amp;AA3,汇编指令!$C$2:$D$235,2,FALSE),"")</f>
        <v/>
      </c>
      <c r="AB68" s="32" t="str">
        <f>_xlfn.IFNA(VLOOKUP($C68&amp;","&amp;AB3,汇编指令!$C$2:$D$235,2,FALSE),"")</f>
        <v/>
      </c>
    </row>
    <row r="69" ht="20" customHeight="1" spans="1:28">
      <c r="A69" s="16">
        <v>2</v>
      </c>
      <c r="B69" s="21">
        <f t="shared" si="3"/>
        <v>65</v>
      </c>
      <c r="C69" s="24" t="s">
        <v>984</v>
      </c>
      <c r="D69" s="23" t="str">
        <f t="shared" si="4"/>
        <v>41</v>
      </c>
      <c r="E69" s="34" t="str">
        <f>_xlfn.IFNA(VLOOKUP($C69&amp;","&amp;E3,汇编指令!$C$2:$D$235,2,FALSE),"")</f>
        <v/>
      </c>
      <c r="F69" s="32" t="str">
        <f>_xlfn.IFNA(VLOOKUP($C69&amp;","&amp;F3,汇编指令!$C$2:$D$235,2,FALSE),"")</f>
        <v/>
      </c>
      <c r="G69" s="32" t="str">
        <f>_xlfn.IFNA(VLOOKUP($C69&amp;","&amp;G3,汇编指令!$C$2:$D$235,2,FALSE),"")</f>
        <v/>
      </c>
      <c r="H69" s="32" t="str">
        <f>_xlfn.IFNA(VLOOKUP($C69&amp;","&amp;H3,汇编指令!$C$2:$D$235,2,FALSE),"")</f>
        <v/>
      </c>
      <c r="I69" s="32" t="str">
        <f>_xlfn.IFNA(VLOOKUP($C69&amp;","&amp;I3,汇编指令!$C$2:$D$235,2,FALSE),"")</f>
        <v/>
      </c>
      <c r="J69" s="32" t="str">
        <f>_xlfn.IFNA(VLOOKUP($C69&amp;","&amp;J3,汇编指令!$C$2:$D$235,2,FALSE),"")</f>
        <v/>
      </c>
      <c r="K69" s="32" t="str">
        <f>_xlfn.IFNA(VLOOKUP($C69&amp;","&amp;K3,汇编指令!$C$2:$D$235,2,FALSE),"")</f>
        <v/>
      </c>
      <c r="L69" s="32" t="str">
        <f>_xlfn.IFNA(VLOOKUP($C69&amp;","&amp;L3,汇编指令!$C$2:$D$235,2,FALSE),"")</f>
        <v/>
      </c>
      <c r="M69" s="32" t="str">
        <f>_xlfn.IFNA(VLOOKUP($C69&amp;","&amp;M3,汇编指令!$C$2:$D$235,2,FALSE),"")</f>
        <v/>
      </c>
      <c r="N69" s="32" t="str">
        <f>_xlfn.IFNA(VLOOKUP($C69&amp;","&amp;N3,汇编指令!$C$2:$D$235,2,FALSE),"")</f>
        <v/>
      </c>
      <c r="O69" s="32" t="str">
        <f>_xlfn.IFNA(VLOOKUP($C69&amp;","&amp;O3,汇编指令!$C$2:$D$235,2,FALSE),"")</f>
        <v/>
      </c>
      <c r="P69" s="32" t="str">
        <f>_xlfn.IFNA(VLOOKUP($C69&amp;","&amp;P3,汇编指令!$C$2:$D$235,2,FALSE),"")</f>
        <v/>
      </c>
      <c r="Q69" s="32" t="str">
        <f>_xlfn.IFNA(VLOOKUP($C69&amp;","&amp;Q3,汇编指令!$C$2:$D$235,2,FALSE),"")</f>
        <v/>
      </c>
      <c r="R69" s="32" t="str">
        <f>_xlfn.IFNA(VLOOKUP($C69&amp;","&amp;R3,汇编指令!$C$2:$D$235,2,FALSE),"")</f>
        <v/>
      </c>
      <c r="S69" s="32" t="str">
        <f>_xlfn.IFNA(VLOOKUP($C69&amp;","&amp;S3,汇编指令!$C$2:$D$235,2,FALSE),"")</f>
        <v/>
      </c>
      <c r="T69" s="32" t="str">
        <f>_xlfn.IFNA(VLOOKUP($C69&amp;","&amp;T3,汇编指令!$C$2:$D$235,2,FALSE),"")</f>
        <v/>
      </c>
      <c r="U69" s="32" t="str">
        <f>_xlfn.IFNA(VLOOKUP($C69&amp;","&amp;U3,汇编指令!$C$2:$D$235,2,FALSE),"")</f>
        <v/>
      </c>
      <c r="V69" s="32" t="str">
        <f>_xlfn.IFNA(VLOOKUP($C69&amp;","&amp;V3,汇编指令!$C$2:$D$235,2,FALSE),"")</f>
        <v/>
      </c>
      <c r="W69" s="32" t="str">
        <f>_xlfn.IFNA(VLOOKUP($C69&amp;","&amp;W3,汇编指令!$C$2:$D$235,2,FALSE),"")</f>
        <v/>
      </c>
      <c r="X69" s="33" t="str">
        <f>_xlfn.IFNA(VLOOKUP($C69&amp;","&amp;X3,汇编指令!$C$2:$D$235,2,FALSE),"")</f>
        <v>DF</v>
      </c>
      <c r="Y69" s="32" t="str">
        <f>_xlfn.IFNA(VLOOKUP($C69&amp;","&amp;Y3,汇编指令!$C$2:$D$235,2,FALSE),"")</f>
        <v/>
      </c>
      <c r="Z69" s="32" t="str">
        <f>_xlfn.IFNA(VLOOKUP($C69&amp;","&amp;Z3,汇编指令!$C$2:$D$235,2,FALSE),"")</f>
        <v/>
      </c>
      <c r="AA69" s="32" t="str">
        <f>_xlfn.IFNA(VLOOKUP($C69&amp;","&amp;AA3,汇编指令!$C$2:$D$235,2,FALSE),"")</f>
        <v/>
      </c>
      <c r="AB69" s="32" t="str">
        <f>_xlfn.IFNA(VLOOKUP($C69&amp;","&amp;AB3,汇编指令!$C$2:$D$235,2,FALSE),"")</f>
        <v/>
      </c>
    </row>
    <row r="70" ht="20" customHeight="1" spans="1:28">
      <c r="A70" s="16">
        <v>2</v>
      </c>
      <c r="B70" s="21">
        <f t="shared" si="3"/>
        <v>66</v>
      </c>
      <c r="C70" s="24" t="s">
        <v>985</v>
      </c>
      <c r="D70" s="23" t="str">
        <f t="shared" si="4"/>
        <v>42</v>
      </c>
      <c r="E70" s="34" t="str">
        <f>_xlfn.IFNA(VLOOKUP($C70&amp;","&amp;E3,汇编指令!$C$2:$D$235,2,FALSE),"")</f>
        <v/>
      </c>
      <c r="F70" s="32" t="str">
        <f>_xlfn.IFNA(VLOOKUP($C70&amp;","&amp;F3,汇编指令!$C$2:$D$235,2,FALSE),"")</f>
        <v/>
      </c>
      <c r="G70" s="32" t="str">
        <f>_xlfn.IFNA(VLOOKUP($C70&amp;","&amp;G3,汇编指令!$C$2:$D$235,2,FALSE),"")</f>
        <v/>
      </c>
      <c r="H70" s="32" t="str">
        <f>_xlfn.IFNA(VLOOKUP($C70&amp;","&amp;H3,汇编指令!$C$2:$D$235,2,FALSE),"")</f>
        <v/>
      </c>
      <c r="I70" s="32" t="str">
        <f>_xlfn.IFNA(VLOOKUP($C70&amp;","&amp;I3,汇编指令!$C$2:$D$235,2,FALSE),"")</f>
        <v/>
      </c>
      <c r="J70" s="32" t="str">
        <f>_xlfn.IFNA(VLOOKUP($C70&amp;","&amp;J3,汇编指令!$C$2:$D$235,2,FALSE),"")</f>
        <v/>
      </c>
      <c r="K70" s="32" t="str">
        <f>_xlfn.IFNA(VLOOKUP($C70&amp;","&amp;K3,汇编指令!$C$2:$D$235,2,FALSE),"")</f>
        <v/>
      </c>
      <c r="L70" s="32" t="str">
        <f>_xlfn.IFNA(VLOOKUP($C70&amp;","&amp;L3,汇编指令!$C$2:$D$235,2,FALSE),"")</f>
        <v/>
      </c>
      <c r="M70" s="32" t="str">
        <f>_xlfn.IFNA(VLOOKUP($C70&amp;","&amp;M3,汇编指令!$C$2:$D$235,2,FALSE),"")</f>
        <v/>
      </c>
      <c r="N70" s="32" t="str">
        <f>_xlfn.IFNA(VLOOKUP($C70&amp;","&amp;N3,汇编指令!$C$2:$D$235,2,FALSE),"")</f>
        <v/>
      </c>
      <c r="O70" s="32" t="str">
        <f>_xlfn.IFNA(VLOOKUP($C70&amp;","&amp;O3,汇编指令!$C$2:$D$235,2,FALSE),"")</f>
        <v/>
      </c>
      <c r="P70" s="32" t="str">
        <f>_xlfn.IFNA(VLOOKUP($C70&amp;","&amp;P3,汇编指令!$C$2:$D$235,2,FALSE),"")</f>
        <v/>
      </c>
      <c r="Q70" s="32" t="str">
        <f>_xlfn.IFNA(VLOOKUP($C70&amp;","&amp;Q3,汇编指令!$C$2:$D$235,2,FALSE),"")</f>
        <v/>
      </c>
      <c r="R70" s="32" t="str">
        <f>_xlfn.IFNA(VLOOKUP($C70&amp;","&amp;R3,汇编指令!$C$2:$D$235,2,FALSE),"")</f>
        <v/>
      </c>
      <c r="S70" s="32" t="str">
        <f>_xlfn.IFNA(VLOOKUP($C70&amp;","&amp;S3,汇编指令!$C$2:$D$235,2,FALSE),"")</f>
        <v/>
      </c>
      <c r="T70" s="32" t="str">
        <f>_xlfn.IFNA(VLOOKUP($C70&amp;","&amp;T3,汇编指令!$C$2:$D$235,2,FALSE),"")</f>
        <v/>
      </c>
      <c r="U70" s="32" t="str">
        <f>_xlfn.IFNA(VLOOKUP($C70&amp;","&amp;U3,汇编指令!$C$2:$D$235,2,FALSE),"")</f>
        <v/>
      </c>
      <c r="V70" s="32" t="str">
        <f>_xlfn.IFNA(VLOOKUP($C70&amp;","&amp;V3,汇编指令!$C$2:$D$235,2,FALSE),"")</f>
        <v/>
      </c>
      <c r="W70" s="32" t="str">
        <f>_xlfn.IFNA(VLOOKUP($C70&amp;","&amp;W3,汇编指令!$C$2:$D$235,2,FALSE),"")</f>
        <v/>
      </c>
      <c r="X70" s="33" t="str">
        <f>_xlfn.IFNA(VLOOKUP($C70&amp;","&amp;X3,汇编指令!$C$2:$D$235,2,FALSE),"")</f>
        <v>20</v>
      </c>
      <c r="Y70" s="32" t="str">
        <f>_xlfn.IFNA(VLOOKUP($C70&amp;","&amp;Y3,汇编指令!$C$2:$D$235,2,FALSE),"")</f>
        <v/>
      </c>
      <c r="Z70" s="32" t="str">
        <f>_xlfn.IFNA(VLOOKUP($C70&amp;","&amp;Z3,汇编指令!$C$2:$D$235,2,FALSE),"")</f>
        <v/>
      </c>
      <c r="AA70" s="32" t="str">
        <f>_xlfn.IFNA(VLOOKUP($C70&amp;","&amp;AA3,汇编指令!$C$2:$D$235,2,FALSE),"")</f>
        <v/>
      </c>
      <c r="AB70" s="32" t="str">
        <f>_xlfn.IFNA(VLOOKUP($C70&amp;","&amp;AB3,汇编指令!$C$2:$D$235,2,FALSE),"")</f>
        <v/>
      </c>
    </row>
    <row r="71" ht="20" customHeight="1" spans="1:28">
      <c r="A71" s="16">
        <v>2</v>
      </c>
      <c r="B71" s="21">
        <f t="shared" si="3"/>
        <v>67</v>
      </c>
      <c r="C71" s="24" t="s">
        <v>986</v>
      </c>
      <c r="D71" s="23" t="str">
        <f t="shared" si="4"/>
        <v>43</v>
      </c>
      <c r="E71" s="34" t="str">
        <f>_xlfn.IFNA(VLOOKUP($C71&amp;","&amp;E3,汇编指令!$C$2:$D$235,2,FALSE),"")</f>
        <v/>
      </c>
      <c r="F71" s="32" t="str">
        <f>_xlfn.IFNA(VLOOKUP($C71&amp;","&amp;F3,汇编指令!$C$2:$D$235,2,FALSE),"")</f>
        <v/>
      </c>
      <c r="G71" s="32" t="str">
        <f>_xlfn.IFNA(VLOOKUP($C71&amp;","&amp;G3,汇编指令!$C$2:$D$235,2,FALSE),"")</f>
        <v/>
      </c>
      <c r="H71" s="32" t="str">
        <f>_xlfn.IFNA(VLOOKUP($C71&amp;","&amp;H3,汇编指令!$C$2:$D$235,2,FALSE),"")</f>
        <v/>
      </c>
      <c r="I71" s="32" t="str">
        <f>_xlfn.IFNA(VLOOKUP($C71&amp;","&amp;I3,汇编指令!$C$2:$D$235,2,FALSE),"")</f>
        <v/>
      </c>
      <c r="J71" s="32" t="str">
        <f>_xlfn.IFNA(VLOOKUP($C71&amp;","&amp;J3,汇编指令!$C$2:$D$235,2,FALSE),"")</f>
        <v/>
      </c>
      <c r="K71" s="32" t="str">
        <f>_xlfn.IFNA(VLOOKUP($C71&amp;","&amp;K3,汇编指令!$C$2:$D$235,2,FALSE),"")</f>
        <v/>
      </c>
      <c r="L71" s="32" t="str">
        <f>_xlfn.IFNA(VLOOKUP($C71&amp;","&amp;L3,汇编指令!$C$2:$D$235,2,FALSE),"")</f>
        <v/>
      </c>
      <c r="M71" s="32" t="str">
        <f>_xlfn.IFNA(VLOOKUP($C71&amp;","&amp;M3,汇编指令!$C$2:$D$235,2,FALSE),"")</f>
        <v/>
      </c>
      <c r="N71" s="32" t="str">
        <f>_xlfn.IFNA(VLOOKUP($C71&amp;","&amp;N3,汇编指令!$C$2:$D$235,2,FALSE),"")</f>
        <v/>
      </c>
      <c r="O71" s="32" t="str">
        <f>_xlfn.IFNA(VLOOKUP($C71&amp;","&amp;O3,汇编指令!$C$2:$D$235,2,FALSE),"")</f>
        <v/>
      </c>
      <c r="P71" s="32" t="str">
        <f>_xlfn.IFNA(VLOOKUP($C71&amp;","&amp;P3,汇编指令!$C$2:$D$235,2,FALSE),"")</f>
        <v/>
      </c>
      <c r="Q71" s="32" t="str">
        <f>_xlfn.IFNA(VLOOKUP($C71&amp;","&amp;Q3,汇编指令!$C$2:$D$235,2,FALSE),"")</f>
        <v/>
      </c>
      <c r="R71" s="32" t="str">
        <f>_xlfn.IFNA(VLOOKUP($C71&amp;","&amp;R3,汇编指令!$C$2:$D$235,2,FALSE),"")</f>
        <v/>
      </c>
      <c r="S71" s="32" t="str">
        <f>_xlfn.IFNA(VLOOKUP($C71&amp;","&amp;S3,汇编指令!$C$2:$D$235,2,FALSE),"")</f>
        <v/>
      </c>
      <c r="T71" s="32" t="str">
        <f>_xlfn.IFNA(VLOOKUP($C71&amp;","&amp;T3,汇编指令!$C$2:$D$235,2,FALSE),"")</f>
        <v/>
      </c>
      <c r="U71" s="32" t="str">
        <f>_xlfn.IFNA(VLOOKUP($C71&amp;","&amp;U3,汇编指令!$C$2:$D$235,2,FALSE),"")</f>
        <v/>
      </c>
      <c r="V71" s="32" t="str">
        <f>_xlfn.IFNA(VLOOKUP($C71&amp;","&amp;V3,汇编指令!$C$2:$D$235,2,FALSE),"")</f>
        <v/>
      </c>
      <c r="W71" s="32" t="str">
        <f>_xlfn.IFNA(VLOOKUP($C71&amp;","&amp;W3,汇编指令!$C$2:$D$235,2,FALSE),"")</f>
        <v/>
      </c>
      <c r="X71" s="33" t="str">
        <f>_xlfn.IFNA(VLOOKUP($C71&amp;","&amp;X3,汇编指令!$C$2:$D$235,2,FALSE),"")</f>
        <v>10</v>
      </c>
      <c r="Y71" s="32" t="str">
        <f>_xlfn.IFNA(VLOOKUP($C71&amp;","&amp;Y3,汇编指令!$C$2:$D$235,2,FALSE),"")</f>
        <v/>
      </c>
      <c r="Z71" s="32" t="str">
        <f>_xlfn.IFNA(VLOOKUP($C71&amp;","&amp;Z3,汇编指令!$C$2:$D$235,2,FALSE),"")</f>
        <v/>
      </c>
      <c r="AA71" s="32" t="str">
        <f>_xlfn.IFNA(VLOOKUP($C71&amp;","&amp;AA3,汇编指令!$C$2:$D$235,2,FALSE),"")</f>
        <v/>
      </c>
      <c r="AB71" s="32" t="str">
        <f>_xlfn.IFNA(VLOOKUP($C71&amp;","&amp;AB3,汇编指令!$C$2:$D$235,2,FALSE),"")</f>
        <v/>
      </c>
    </row>
    <row r="72" s="7" customFormat="1" ht="20" customHeight="1" spans="1:28">
      <c r="A72" s="16">
        <v>2</v>
      </c>
      <c r="B72" s="21">
        <f t="shared" si="3"/>
        <v>68</v>
      </c>
      <c r="C72" s="24" t="s">
        <v>987</v>
      </c>
      <c r="D72" s="23" t="str">
        <f t="shared" si="4"/>
        <v>44</v>
      </c>
      <c r="E72" s="34" t="str">
        <f>_xlfn.IFNA(VLOOKUP($C72&amp;","&amp;E3,汇编指令!$C$2:$D$235,2,FALSE),"")</f>
        <v/>
      </c>
      <c r="F72" s="32" t="str">
        <f>_xlfn.IFNA(VLOOKUP($C72&amp;","&amp;F3,汇编指令!$C$2:$D$235,2,FALSE),"")</f>
        <v/>
      </c>
      <c r="G72" s="32" t="str">
        <f>_xlfn.IFNA(VLOOKUP($C72&amp;","&amp;G3,汇编指令!$C$2:$D$235,2,FALSE),"")</f>
        <v/>
      </c>
      <c r="H72" s="32" t="str">
        <f>_xlfn.IFNA(VLOOKUP($C72&amp;","&amp;H3,汇编指令!$C$2:$D$235,2,FALSE),"")</f>
        <v/>
      </c>
      <c r="I72" s="32" t="str">
        <f>_xlfn.IFNA(VLOOKUP($C72&amp;","&amp;I3,汇编指令!$C$2:$D$235,2,FALSE),"")</f>
        <v/>
      </c>
      <c r="J72" s="32" t="str">
        <f>_xlfn.IFNA(VLOOKUP($C72&amp;","&amp;J3,汇编指令!$C$2:$D$235,2,FALSE),"")</f>
        <v/>
      </c>
      <c r="K72" s="32" t="str">
        <f>_xlfn.IFNA(VLOOKUP($C72&amp;","&amp;K3,汇编指令!$C$2:$D$235,2,FALSE),"")</f>
        <v/>
      </c>
      <c r="L72" s="32" t="str">
        <f>_xlfn.IFNA(VLOOKUP($C72&amp;","&amp;L3,汇编指令!$C$2:$D$235,2,FALSE),"")</f>
        <v/>
      </c>
      <c r="M72" s="32" t="str">
        <f>_xlfn.IFNA(VLOOKUP($C72&amp;","&amp;M3,汇编指令!$C$2:$D$235,2,FALSE),"")</f>
        <v/>
      </c>
      <c r="N72" s="32" t="str">
        <f>_xlfn.IFNA(VLOOKUP($C72&amp;","&amp;N3,汇编指令!$C$2:$D$235,2,FALSE),"")</f>
        <v/>
      </c>
      <c r="O72" s="32" t="str">
        <f>_xlfn.IFNA(VLOOKUP($C72&amp;","&amp;O3,汇编指令!$C$2:$D$235,2,FALSE),"")</f>
        <v/>
      </c>
      <c r="P72" s="32" t="str">
        <f>_xlfn.IFNA(VLOOKUP($C72&amp;","&amp;P3,汇编指令!$C$2:$D$235,2,FALSE),"")</f>
        <v/>
      </c>
      <c r="Q72" s="32" t="str">
        <f>_xlfn.IFNA(VLOOKUP($C72&amp;","&amp;Q3,汇编指令!$C$2:$D$235,2,FALSE),"")</f>
        <v/>
      </c>
      <c r="R72" s="32" t="str">
        <f>_xlfn.IFNA(VLOOKUP($C72&amp;","&amp;R3,汇编指令!$C$2:$D$235,2,FALSE),"")</f>
        <v/>
      </c>
      <c r="S72" s="32" t="str">
        <f>_xlfn.IFNA(VLOOKUP($C72&amp;","&amp;S3,汇编指令!$C$2:$D$235,2,FALSE),"")</f>
        <v/>
      </c>
      <c r="T72" s="32" t="str">
        <f>_xlfn.IFNA(VLOOKUP($C72&amp;","&amp;T3,汇编指令!$C$2:$D$235,2,FALSE),"")</f>
        <v/>
      </c>
      <c r="U72" s="32" t="str">
        <f>_xlfn.IFNA(VLOOKUP($C72&amp;","&amp;U3,汇编指令!$C$2:$D$235,2,FALSE),"")</f>
        <v/>
      </c>
      <c r="V72" s="32" t="str">
        <f>_xlfn.IFNA(VLOOKUP($C72&amp;","&amp;V3,汇编指令!$C$2:$D$235,2,FALSE),"")</f>
        <v/>
      </c>
      <c r="W72" s="32" t="str">
        <f>_xlfn.IFNA(VLOOKUP($C72&amp;","&amp;W3,汇编指令!$C$2:$D$235,2,FALSE),"")</f>
        <v/>
      </c>
      <c r="X72" s="33" t="str">
        <f>_xlfn.IFNA(VLOOKUP($C72&amp;","&amp;X3,汇编指令!$C$2:$D$235,2,FALSE),"")</f>
        <v>30</v>
      </c>
      <c r="Y72" s="32" t="str">
        <f>_xlfn.IFNA(VLOOKUP($C72&amp;","&amp;Y3,汇编指令!$C$2:$D$235,2,FALSE),"")</f>
        <v/>
      </c>
      <c r="Z72" s="32" t="str">
        <f>_xlfn.IFNA(VLOOKUP($C72&amp;","&amp;Z3,汇编指令!$C$2:$D$235,2,FALSE),"")</f>
        <v/>
      </c>
      <c r="AA72" s="32" t="str">
        <f>_xlfn.IFNA(VLOOKUP($C72&amp;","&amp;AA3,汇编指令!$C$2:$D$235,2,FALSE),"")</f>
        <v/>
      </c>
      <c r="AB72" s="32" t="str">
        <f>_xlfn.IFNA(VLOOKUP($C72&amp;","&amp;AB3,汇编指令!$C$2:$D$235,2,FALSE),"")</f>
        <v/>
      </c>
    </row>
    <row r="73" s="7" customFormat="1" ht="20" customHeight="1" spans="1:28">
      <c r="A73" s="16">
        <v>2</v>
      </c>
      <c r="B73" s="21">
        <f t="shared" si="3"/>
        <v>69</v>
      </c>
      <c r="C73" s="24" t="s">
        <v>988</v>
      </c>
      <c r="D73" s="23" t="str">
        <f t="shared" si="4"/>
        <v>45</v>
      </c>
      <c r="E73" s="31" t="str">
        <f>_xlfn.IFNA(VLOOKUP($C73&amp;","&amp;E3,汇编指令!$C$2:$D$235,2,FALSE),"")</f>
        <v>F6</v>
      </c>
      <c r="F73" s="32" t="str">
        <f>_xlfn.IFNA(VLOOKUP($C73&amp;","&amp;F3,汇编指令!$C$2:$D$235,2,FALSE),"")</f>
        <v/>
      </c>
      <c r="G73" s="32" t="str">
        <f>_xlfn.IFNA(VLOOKUP($C73&amp;","&amp;G3,汇编指令!$C$2:$D$235,2,FALSE),"")</f>
        <v/>
      </c>
      <c r="H73" s="32" t="str">
        <f>_xlfn.IFNA(VLOOKUP($C73&amp;","&amp;H3,汇编指令!$C$2:$D$235,2,FALSE),"")</f>
        <v/>
      </c>
      <c r="I73" s="32" t="str">
        <f>_xlfn.IFNA(VLOOKUP($C73&amp;","&amp;I3,汇编指令!$C$2:$D$235,2,FALSE),"")</f>
        <v/>
      </c>
      <c r="J73" s="32" t="str">
        <f>_xlfn.IFNA(VLOOKUP($C73&amp;","&amp;J3,汇编指令!$C$2:$D$235,2,FALSE),"")</f>
        <v/>
      </c>
      <c r="K73" s="32" t="str">
        <f>_xlfn.IFNA(VLOOKUP($C73&amp;","&amp;K3,汇编指令!$C$2:$D$235,2,FALSE),"")</f>
        <v/>
      </c>
      <c r="L73" s="32" t="str">
        <f>_xlfn.IFNA(VLOOKUP($C73&amp;","&amp;L3,汇编指令!$C$2:$D$235,2,FALSE),"")</f>
        <v/>
      </c>
      <c r="M73" s="32" t="str">
        <f>_xlfn.IFNA(VLOOKUP($C73&amp;","&amp;M3,汇编指令!$C$2:$D$235,2,FALSE),"")</f>
        <v/>
      </c>
      <c r="N73" s="33" t="str">
        <f>_xlfn.IFNA(VLOOKUP($C73&amp;","&amp;N3,汇编指令!$C$2:$D$235,2,FALSE),"")</f>
        <v>76</v>
      </c>
      <c r="O73" s="33" t="str">
        <f>_xlfn.IFNA(VLOOKUP($C73&amp;","&amp;O3,汇编指令!$C$2:$D$235,2,FALSE),"")</f>
        <v>A6</v>
      </c>
      <c r="P73" s="32" t="str">
        <f>_xlfn.IFNA(VLOOKUP($C73&amp;","&amp;P3,汇编指令!$C$2:$D$235,2,FALSE),"")</f>
        <v/>
      </c>
      <c r="Q73" s="32" t="str">
        <f>_xlfn.IFNA(VLOOKUP($C73&amp;","&amp;Q3,汇编指令!$C$2:$D$235,2,FALSE),"")</f>
        <v/>
      </c>
      <c r="R73" s="32" t="str">
        <f>_xlfn.IFNA(VLOOKUP($C73&amp;","&amp;R3,汇编指令!$C$2:$D$235,2,FALSE),"")</f>
        <v/>
      </c>
      <c r="S73" s="32" t="str">
        <f>_xlfn.IFNA(VLOOKUP($C73&amp;","&amp;S3,汇编指令!$C$2:$D$235,2,FALSE),"")</f>
        <v/>
      </c>
      <c r="T73" s="32" t="str">
        <f>_xlfn.IFNA(VLOOKUP($C73&amp;","&amp;T3,汇编指令!$C$2:$D$235,2,FALSE),"")</f>
        <v/>
      </c>
      <c r="U73" s="32" t="str">
        <f>_xlfn.IFNA(VLOOKUP($C73&amp;","&amp;U3,汇编指令!$C$2:$D$235,2,FALSE),"")</f>
        <v/>
      </c>
      <c r="V73" s="32" t="str">
        <f>_xlfn.IFNA(VLOOKUP($C73&amp;","&amp;V3,汇编指令!$C$2:$D$235,2,FALSE),"")</f>
        <v/>
      </c>
      <c r="W73" s="32" t="str">
        <f>_xlfn.IFNA(VLOOKUP($C73&amp;","&amp;W3,汇编指令!$C$2:$D$235,2,FALSE),"")</f>
        <v/>
      </c>
      <c r="X73" s="32" t="str">
        <f>_xlfn.IFNA(VLOOKUP($C73&amp;","&amp;X3,汇编指令!$C$2:$D$235,2,FALSE),"")</f>
        <v/>
      </c>
      <c r="Y73" s="32" t="str">
        <f>_xlfn.IFNA(VLOOKUP($C73&amp;","&amp;Y3,汇编指令!$C$2:$D$235,2,FALSE),"")</f>
        <v/>
      </c>
      <c r="Z73" s="32" t="str">
        <f>_xlfn.IFNA(VLOOKUP($C73&amp;","&amp;Z3,汇编指令!$C$2:$D$235,2,FALSE),"")</f>
        <v/>
      </c>
      <c r="AA73" s="32" t="str">
        <f>_xlfn.IFNA(VLOOKUP($C73&amp;","&amp;AA3,汇编指令!$C$2:$D$235,2,FALSE),"")</f>
        <v/>
      </c>
      <c r="AB73" s="32" t="str">
        <f>_xlfn.IFNA(VLOOKUP($C73&amp;","&amp;AB3,汇编指令!$C$2:$D$235,2,FALSE),"")</f>
        <v/>
      </c>
    </row>
    <row r="74" s="7" customFormat="1" ht="20" customHeight="1" spans="1:28">
      <c r="A74" s="16">
        <v>2</v>
      </c>
      <c r="B74" s="21">
        <f t="shared" si="3"/>
        <v>70</v>
      </c>
      <c r="C74" s="24" t="s">
        <v>989</v>
      </c>
      <c r="D74" s="23" t="str">
        <f t="shared" si="4"/>
        <v>46</v>
      </c>
      <c r="E74" s="31" t="str">
        <f>_xlfn.IFNA(VLOOKUP($C74&amp;","&amp;E3,汇编指令!$C$2:$D$235,2,FALSE),"")</f>
        <v>F7</v>
      </c>
      <c r="F74" s="32" t="str">
        <f>_xlfn.IFNA(VLOOKUP($C74&amp;","&amp;F3,汇编指令!$C$2:$D$235,2,FALSE),"")</f>
        <v/>
      </c>
      <c r="G74" s="32" t="str">
        <f>_xlfn.IFNA(VLOOKUP($C74&amp;","&amp;G3,汇编指令!$C$2:$D$235,2,FALSE),"")</f>
        <v/>
      </c>
      <c r="H74" s="32" t="str">
        <f>_xlfn.IFNA(VLOOKUP($C74&amp;","&amp;H3,汇编指令!$C$2:$D$235,2,FALSE),"")</f>
        <v/>
      </c>
      <c r="I74" s="32" t="str">
        <f>_xlfn.IFNA(VLOOKUP($C74&amp;","&amp;I3,汇编指令!$C$2:$D$235,2,FALSE),"")</f>
        <v/>
      </c>
      <c r="J74" s="32" t="str">
        <f>_xlfn.IFNA(VLOOKUP($C74&amp;","&amp;J3,汇编指令!$C$2:$D$235,2,FALSE),"")</f>
        <v/>
      </c>
      <c r="K74" s="32" t="str">
        <f>_xlfn.IFNA(VLOOKUP($C74&amp;","&amp;K3,汇编指令!$C$2:$D$235,2,FALSE),"")</f>
        <v/>
      </c>
      <c r="L74" s="32" t="str">
        <f>_xlfn.IFNA(VLOOKUP($C74&amp;","&amp;L3,汇编指令!$C$2:$D$235,2,FALSE),"")</f>
        <v/>
      </c>
      <c r="M74" s="32" t="str">
        <f>_xlfn.IFNA(VLOOKUP($C74&amp;","&amp;M3,汇编指令!$C$2:$D$235,2,FALSE),"")</f>
        <v/>
      </c>
      <c r="N74" s="33" t="str">
        <f>_xlfn.IFNA(VLOOKUP($C74&amp;","&amp;N3,汇编指令!$C$2:$D$235,2,FALSE),"")</f>
        <v>77</v>
      </c>
      <c r="O74" s="33" t="str">
        <f>_xlfn.IFNA(VLOOKUP($C74&amp;","&amp;O3,汇编指令!$C$2:$D$235,2,FALSE),"")</f>
        <v>A7</v>
      </c>
      <c r="P74" s="32" t="str">
        <f>_xlfn.IFNA(VLOOKUP($C74&amp;","&amp;P3,汇编指令!$C$2:$D$235,2,FALSE),"")</f>
        <v/>
      </c>
      <c r="Q74" s="32" t="str">
        <f>_xlfn.IFNA(VLOOKUP($C74&amp;","&amp;Q3,汇编指令!$C$2:$D$235,2,FALSE),"")</f>
        <v/>
      </c>
      <c r="R74" s="32" t="str">
        <f>_xlfn.IFNA(VLOOKUP($C74&amp;","&amp;R3,汇编指令!$C$2:$D$235,2,FALSE),"")</f>
        <v/>
      </c>
      <c r="S74" s="32" t="str">
        <f>_xlfn.IFNA(VLOOKUP($C74&amp;","&amp;S3,汇编指令!$C$2:$D$235,2,FALSE),"")</f>
        <v/>
      </c>
      <c r="T74" s="32" t="str">
        <f>_xlfn.IFNA(VLOOKUP($C74&amp;","&amp;T3,汇编指令!$C$2:$D$235,2,FALSE),"")</f>
        <v/>
      </c>
      <c r="U74" s="32" t="str">
        <f>_xlfn.IFNA(VLOOKUP($C74&amp;","&amp;U3,汇编指令!$C$2:$D$235,2,FALSE),"")</f>
        <v/>
      </c>
      <c r="V74" s="32" t="str">
        <f>_xlfn.IFNA(VLOOKUP($C74&amp;","&amp;V3,汇编指令!$C$2:$D$235,2,FALSE),"")</f>
        <v/>
      </c>
      <c r="W74" s="32" t="str">
        <f>_xlfn.IFNA(VLOOKUP($C74&amp;","&amp;W3,汇编指令!$C$2:$D$235,2,FALSE),"")</f>
        <v/>
      </c>
      <c r="X74" s="32" t="str">
        <f>_xlfn.IFNA(VLOOKUP($C74&amp;","&amp;X3,汇编指令!$C$2:$D$235,2,FALSE),"")</f>
        <v/>
      </c>
      <c r="Y74" s="32" t="str">
        <f>_xlfn.IFNA(VLOOKUP($C74&amp;","&amp;Y3,汇编指令!$C$2:$D$235,2,FALSE),"")</f>
        <v/>
      </c>
      <c r="Z74" s="32" t="str">
        <f>_xlfn.IFNA(VLOOKUP($C74&amp;","&amp;Z3,汇编指令!$C$2:$D$235,2,FALSE),"")</f>
        <v/>
      </c>
      <c r="AA74" s="32" t="str">
        <f>_xlfn.IFNA(VLOOKUP($C74&amp;","&amp;AA3,汇编指令!$C$2:$D$235,2,FALSE),"")</f>
        <v/>
      </c>
      <c r="AB74" s="32" t="str">
        <f>_xlfn.IFNA(VLOOKUP($C74&amp;","&amp;AB3,汇编指令!$C$2:$D$235,2,FALSE),"")</f>
        <v/>
      </c>
    </row>
    <row r="75" s="7" customFormat="1" ht="20" customHeight="1" spans="1:28">
      <c r="A75" s="16">
        <v>2</v>
      </c>
      <c r="B75" s="21">
        <f t="shared" si="3"/>
        <v>71</v>
      </c>
      <c r="C75" s="24" t="s">
        <v>990</v>
      </c>
      <c r="D75" s="23" t="str">
        <f t="shared" si="4"/>
        <v>47</v>
      </c>
      <c r="E75" s="34" t="str">
        <f>_xlfn.IFNA(VLOOKUP($C75&amp;","&amp;E3,汇编指令!$C$2:$D$235,2,FALSE),"")</f>
        <v/>
      </c>
      <c r="F75" s="33" t="str">
        <f>_xlfn.IFNA(VLOOKUP($C75&amp;","&amp;F3,汇编指令!$C$2:$D$235,2,FALSE),"")</f>
        <v>E8</v>
      </c>
      <c r="G75" s="33" t="str">
        <f>_xlfn.IFNA(VLOOKUP($C75&amp;","&amp;G3,汇编指令!$C$2:$D$235,2,FALSE),"")</f>
        <v>E9</v>
      </c>
      <c r="H75" s="33" t="str">
        <f>_xlfn.IFNA(VLOOKUP($C75&amp;","&amp;H3,汇编指令!$C$2:$D$235,2,FALSE),"")</f>
        <v>EA</v>
      </c>
      <c r="I75" s="33" t="str">
        <f>_xlfn.IFNA(VLOOKUP($C75&amp;","&amp;I3,汇编指令!$C$2:$D$235,2,FALSE),"")</f>
        <v>EB</v>
      </c>
      <c r="J75" s="33" t="str">
        <f>_xlfn.IFNA(VLOOKUP($C75&amp;","&amp;J3,汇编指令!$C$2:$D$235,2,FALSE),"")</f>
        <v>EC</v>
      </c>
      <c r="K75" s="33" t="str">
        <f>_xlfn.IFNA(VLOOKUP($C75&amp;","&amp;K3,汇编指令!$C$2:$D$235,2,FALSE),"")</f>
        <v>ED</v>
      </c>
      <c r="L75" s="33" t="str">
        <f>_xlfn.IFNA(VLOOKUP($C75&amp;","&amp;L3,汇编指令!$C$2:$D$235,2,FALSE),"")</f>
        <v>EE</v>
      </c>
      <c r="M75" s="33" t="str">
        <f>_xlfn.IFNA(VLOOKUP($C75&amp;","&amp;M3,汇编指令!$C$2:$D$235,2,FALSE),"")</f>
        <v>EF</v>
      </c>
      <c r="N75" s="33" t="str">
        <f>_xlfn.IFNA(VLOOKUP($C75&amp;","&amp;N3,汇编指令!$C$2:$D$235,2,FALSE),"")</f>
        <v>74</v>
      </c>
      <c r="O75" s="33" t="str">
        <f>_xlfn.IFNA(VLOOKUP($C75&amp;","&amp;O3,汇编指令!$C$2:$D$235,2,FALSE),"")</f>
        <v>E5</v>
      </c>
      <c r="P75" s="33" t="str">
        <f>_xlfn.IFNA(VLOOKUP($C75&amp;","&amp;P3,汇编指令!$C$2:$D$235,2,FALSE),"")</f>
        <v>E6</v>
      </c>
      <c r="Q75" s="33" t="str">
        <f>_xlfn.IFNA(VLOOKUP($C75&amp;","&amp;Q3,汇编指令!$C$2:$D$235,2,FALSE),"")</f>
        <v>E7</v>
      </c>
      <c r="R75" s="32" t="str">
        <f>_xlfn.IFNA(VLOOKUP($C75&amp;","&amp;R3,汇编指令!$C$2:$D$235,2,FALSE),"")</f>
        <v/>
      </c>
      <c r="S75" s="32" t="str">
        <f>_xlfn.IFNA(VLOOKUP($C75&amp;","&amp;S3,汇编指令!$C$2:$D$235,2,FALSE),"")</f>
        <v/>
      </c>
      <c r="T75" s="32" t="str">
        <f>_xlfn.IFNA(VLOOKUP($C75&amp;","&amp;T3,汇编指令!$C$2:$D$235,2,FALSE),"")</f>
        <v/>
      </c>
      <c r="U75" s="32" t="str">
        <f>_xlfn.IFNA(VLOOKUP($C75&amp;","&amp;U3,汇编指令!$C$2:$D$235,2,FALSE),"")</f>
        <v/>
      </c>
      <c r="V75" s="32" t="str">
        <f>_xlfn.IFNA(VLOOKUP($C75&amp;","&amp;V3,汇编指令!$C$2:$D$235,2,FALSE),"")</f>
        <v/>
      </c>
      <c r="W75" s="32" t="str">
        <f>_xlfn.IFNA(VLOOKUP($C75&amp;","&amp;W3,汇编指令!$C$2:$D$235,2,FALSE),"")</f>
        <v/>
      </c>
      <c r="X75" s="32" t="str">
        <f>_xlfn.IFNA(VLOOKUP($C75&amp;","&amp;X3,汇编指令!$C$2:$D$235,2,FALSE),"")</f>
        <v/>
      </c>
      <c r="Y75" s="32" t="str">
        <f>_xlfn.IFNA(VLOOKUP($C75&amp;","&amp;Y3,汇编指令!$C$2:$D$235,2,FALSE),"")</f>
        <v/>
      </c>
      <c r="Z75" s="32" t="str">
        <f>_xlfn.IFNA(VLOOKUP($C75&amp;","&amp;Z3,汇编指令!$C$2:$D$235,2,FALSE),"")</f>
        <v/>
      </c>
      <c r="AA75" s="32" t="str">
        <f>_xlfn.IFNA(VLOOKUP($C75&amp;","&amp;AA3,汇编指令!$C$2:$D$235,2,FALSE),"")</f>
        <v/>
      </c>
      <c r="AB75" s="32" t="str">
        <f>_xlfn.IFNA(VLOOKUP($C75&amp;","&amp;AB3,汇编指令!$C$2:$D$235,2,FALSE),"")</f>
        <v/>
      </c>
    </row>
    <row r="76" s="7" customFormat="1" ht="20" customHeight="1" spans="1:28">
      <c r="A76" s="16">
        <v>2</v>
      </c>
      <c r="B76" s="21">
        <f t="shared" si="3"/>
        <v>72</v>
      </c>
      <c r="C76" s="24" t="s">
        <v>991</v>
      </c>
      <c r="D76" s="23" t="str">
        <f t="shared" si="4"/>
        <v>48</v>
      </c>
      <c r="E76" s="34" t="str">
        <f>_xlfn.IFNA(VLOOKUP($C76&amp;","&amp;E3,汇编指令!$C$2:$D$235,2,FALSE),"")</f>
        <v/>
      </c>
      <c r="F76" s="32" t="str">
        <f>_xlfn.IFNA(VLOOKUP($C76&amp;","&amp;F3,汇编指令!$C$2:$D$235,2,FALSE),"")</f>
        <v/>
      </c>
      <c r="G76" s="32" t="str">
        <f>_xlfn.IFNA(VLOOKUP($C76&amp;","&amp;G3,汇编指令!$C$2:$D$235,2,FALSE),"")</f>
        <v/>
      </c>
      <c r="H76" s="32" t="str">
        <f>_xlfn.IFNA(VLOOKUP($C76&amp;","&amp;H3,汇编指令!$C$2:$D$235,2,FALSE),"")</f>
        <v/>
      </c>
      <c r="I76" s="32" t="str">
        <f>_xlfn.IFNA(VLOOKUP($C76&amp;","&amp;I3,汇编指令!$C$2:$D$235,2,FALSE),"")</f>
        <v/>
      </c>
      <c r="J76" s="32" t="str">
        <f>_xlfn.IFNA(VLOOKUP($C76&amp;","&amp;J3,汇编指令!$C$2:$D$235,2,FALSE),"")</f>
        <v/>
      </c>
      <c r="K76" s="32" t="str">
        <f>_xlfn.IFNA(VLOOKUP($C76&amp;","&amp;K3,汇编指令!$C$2:$D$235,2,FALSE),"")</f>
        <v/>
      </c>
      <c r="L76" s="32" t="str">
        <f>_xlfn.IFNA(VLOOKUP($C76&amp;","&amp;L3,汇编指令!$C$2:$D$235,2,FALSE),"")</f>
        <v/>
      </c>
      <c r="M76" s="32" t="str">
        <f>_xlfn.IFNA(VLOOKUP($C76&amp;","&amp;M3,汇编指令!$C$2:$D$235,2,FALSE),"")</f>
        <v/>
      </c>
      <c r="N76" s="32" t="str">
        <f>_xlfn.IFNA(VLOOKUP($C76&amp;","&amp;N3,汇编指令!$C$2:$D$235,2,FALSE),"")</f>
        <v/>
      </c>
      <c r="O76" s="32" t="str">
        <f>_xlfn.IFNA(VLOOKUP($C76&amp;","&amp;O3,汇编指令!$C$2:$D$235,2,FALSE),"")</f>
        <v/>
      </c>
      <c r="P76" s="32" t="str">
        <f>_xlfn.IFNA(VLOOKUP($C76&amp;","&amp;P3,汇编指令!$C$2:$D$235,2,FALSE),"")</f>
        <v/>
      </c>
      <c r="Q76" s="32" t="str">
        <f>_xlfn.IFNA(VLOOKUP($C76&amp;","&amp;Q3,汇编指令!$C$2:$D$235,2,FALSE),"")</f>
        <v/>
      </c>
      <c r="R76" s="32" t="str">
        <f>_xlfn.IFNA(VLOOKUP($C76&amp;","&amp;R3,汇编指令!$C$2:$D$235,2,FALSE),"")</f>
        <v/>
      </c>
      <c r="S76" s="32" t="str">
        <f>_xlfn.IFNA(VLOOKUP($C76&amp;","&amp;S3,汇编指令!$C$2:$D$235,2,FALSE),"")</f>
        <v/>
      </c>
      <c r="T76" s="32" t="str">
        <f>_xlfn.IFNA(VLOOKUP($C76&amp;","&amp;T3,汇编指令!$C$2:$D$235,2,FALSE),"")</f>
        <v/>
      </c>
      <c r="U76" s="32" t="str">
        <f>_xlfn.IFNA(VLOOKUP($C76&amp;","&amp;U3,汇编指令!$C$2:$D$235,2,FALSE),"")</f>
        <v/>
      </c>
      <c r="V76" s="32" t="str">
        <f>_xlfn.IFNA(VLOOKUP($C76&amp;","&amp;V3,汇编指令!$C$2:$D$235,2,FALSE),"")</f>
        <v/>
      </c>
      <c r="W76" s="32" t="str">
        <f>_xlfn.IFNA(VLOOKUP($C76&amp;","&amp;W3,汇编指令!$C$2:$D$235,2,FALSE),"")</f>
        <v/>
      </c>
      <c r="X76" s="32" t="str">
        <f>_xlfn.IFNA(VLOOKUP($C76&amp;","&amp;X3,汇编指令!$C$2:$D$235,2,FALSE),"")</f>
        <v/>
      </c>
      <c r="Y76" s="32" t="str">
        <f>_xlfn.IFNA(VLOOKUP($C76&amp;","&amp;Y3,汇编指令!$C$2:$D$235,2,FALSE),"")</f>
        <v/>
      </c>
      <c r="Z76" s="33" t="str">
        <f>_xlfn.IFNA(VLOOKUP($C76&amp;","&amp;Z3,汇编指令!$C$2:$D$235,2,FALSE),"")</f>
        <v>92</v>
      </c>
      <c r="AA76" s="32" t="str">
        <f>_xlfn.IFNA(VLOOKUP($C76&amp;","&amp;AA3,汇编指令!$C$2:$D$235,2,FALSE),"")</f>
        <v/>
      </c>
      <c r="AB76" s="32" t="str">
        <f>_xlfn.IFNA(VLOOKUP($C76&amp;","&amp;AB3,汇编指令!$C$2:$D$235,2,FALSE),"")</f>
        <v/>
      </c>
    </row>
    <row r="77" s="7" customFormat="1" ht="20" customHeight="1" spans="1:28">
      <c r="A77" s="16">
        <v>2</v>
      </c>
      <c r="B77" s="21">
        <f t="shared" si="3"/>
        <v>73</v>
      </c>
      <c r="C77" s="24" t="s">
        <v>992</v>
      </c>
      <c r="D77" s="23" t="str">
        <f t="shared" si="4"/>
        <v>49</v>
      </c>
      <c r="E77" s="34" t="str">
        <f>_xlfn.IFNA(VLOOKUP($C77&amp;","&amp;E3,汇编指令!$C$2:$D$235,2,FALSE),"")</f>
        <v/>
      </c>
      <c r="F77" s="32" t="str">
        <f>_xlfn.IFNA(VLOOKUP($C77&amp;","&amp;F3,汇编指令!$C$2:$D$235,2,FALSE),"")</f>
        <v/>
      </c>
      <c r="G77" s="32" t="str">
        <f>_xlfn.IFNA(VLOOKUP($C77&amp;","&amp;G3,汇编指令!$C$2:$D$235,2,FALSE),"")</f>
        <v/>
      </c>
      <c r="H77" s="32" t="str">
        <f>_xlfn.IFNA(VLOOKUP($C77&amp;","&amp;H3,汇编指令!$C$2:$D$235,2,FALSE),"")</f>
        <v/>
      </c>
      <c r="I77" s="32" t="str">
        <f>_xlfn.IFNA(VLOOKUP($C77&amp;","&amp;I3,汇编指令!$C$2:$D$235,2,FALSE),"")</f>
        <v/>
      </c>
      <c r="J77" s="32" t="str">
        <f>_xlfn.IFNA(VLOOKUP($C77&amp;","&amp;J3,汇编指令!$C$2:$D$235,2,FALSE),"")</f>
        <v/>
      </c>
      <c r="K77" s="32" t="str">
        <f>_xlfn.IFNA(VLOOKUP($C77&amp;","&amp;K3,汇编指令!$C$2:$D$235,2,FALSE),"")</f>
        <v/>
      </c>
      <c r="L77" s="32" t="str">
        <f>_xlfn.IFNA(VLOOKUP($C77&amp;","&amp;L3,汇编指令!$C$2:$D$235,2,FALSE),"")</f>
        <v/>
      </c>
      <c r="M77" s="32" t="str">
        <f>_xlfn.IFNA(VLOOKUP($C77&amp;","&amp;M3,汇编指令!$C$2:$D$235,2,FALSE),"")</f>
        <v/>
      </c>
      <c r="N77" s="32" t="str">
        <f>_xlfn.IFNA(VLOOKUP($C77&amp;","&amp;N3,汇编指令!$C$2:$D$235,2,FALSE),"")</f>
        <v/>
      </c>
      <c r="O77" s="32" t="str">
        <f>_xlfn.IFNA(VLOOKUP($C77&amp;","&amp;O3,汇编指令!$C$2:$D$235,2,FALSE),"")</f>
        <v/>
      </c>
      <c r="P77" s="32" t="str">
        <f>_xlfn.IFNA(VLOOKUP($C77&amp;","&amp;P3,汇编指令!$C$2:$D$235,2,FALSE),"")</f>
        <v/>
      </c>
      <c r="Q77" s="32" t="str">
        <f>_xlfn.IFNA(VLOOKUP($C77&amp;","&amp;Q3,汇编指令!$C$2:$D$235,2,FALSE),"")</f>
        <v/>
      </c>
      <c r="R77" s="32" t="str">
        <f>_xlfn.IFNA(VLOOKUP($C77&amp;","&amp;R3,汇编指令!$C$2:$D$235,2,FALSE),"")</f>
        <v/>
      </c>
      <c r="S77" s="32" t="str">
        <f>_xlfn.IFNA(VLOOKUP($C77&amp;","&amp;S3,汇编指令!$C$2:$D$235,2,FALSE),"")</f>
        <v/>
      </c>
      <c r="T77" s="32" t="str">
        <f>_xlfn.IFNA(VLOOKUP($C77&amp;","&amp;T3,汇编指令!$C$2:$D$235,2,FALSE),"")</f>
        <v/>
      </c>
      <c r="U77" s="32" t="str">
        <f>_xlfn.IFNA(VLOOKUP($C77&amp;","&amp;U3,汇编指令!$C$2:$D$235,2,FALSE),"")</f>
        <v/>
      </c>
      <c r="V77" s="32" t="str">
        <f>_xlfn.IFNA(VLOOKUP($C77&amp;","&amp;V3,汇编指令!$C$2:$D$235,2,FALSE),"")</f>
        <v/>
      </c>
      <c r="W77" s="32" t="str">
        <f>_xlfn.IFNA(VLOOKUP($C77&amp;","&amp;W3,汇编指令!$C$2:$D$235,2,FALSE),"")</f>
        <v/>
      </c>
      <c r="X77" s="32" t="str">
        <f>_xlfn.IFNA(VLOOKUP($C77&amp;","&amp;X3,汇编指令!$C$2:$D$235,2,FALSE),"")</f>
        <v/>
      </c>
      <c r="Y77" s="33" t="str">
        <f>_xlfn.IFNA(VLOOKUP($C77&amp;","&amp;Y3,汇编指令!$C$2:$D$235,2,FALSE),"")</f>
        <v>A2</v>
      </c>
      <c r="Z77" s="32" t="str">
        <f>_xlfn.IFNA(VLOOKUP($C77&amp;","&amp;Z3,汇编指令!$C$2:$D$235,2,FALSE),"")</f>
        <v/>
      </c>
      <c r="AA77" s="32" t="str">
        <f>_xlfn.IFNA(VLOOKUP($C77&amp;","&amp;AA3,汇编指令!$C$2:$D$235,2,FALSE),"")</f>
        <v/>
      </c>
      <c r="AB77" s="32" t="str">
        <f>_xlfn.IFNA(VLOOKUP($C77&amp;","&amp;AB3,汇编指令!$C$2:$D$235,2,FALSE),"")</f>
        <v/>
      </c>
    </row>
    <row r="78" s="7" customFormat="1" ht="20" customHeight="1" spans="1:28">
      <c r="A78" s="16">
        <v>2</v>
      </c>
      <c r="B78" s="21">
        <f t="shared" si="3"/>
        <v>74</v>
      </c>
      <c r="C78" s="24" t="s">
        <v>993</v>
      </c>
      <c r="D78" s="23" t="str">
        <f t="shared" si="4"/>
        <v>4A</v>
      </c>
      <c r="E78" s="31" t="str">
        <f>_xlfn.IFNA(VLOOKUP($C78&amp;","&amp;E3,汇编指令!$C$2:$D$235,2,FALSE),"")</f>
        <v>F5</v>
      </c>
      <c r="F78" s="33" t="str">
        <f>_xlfn.IFNA(VLOOKUP($C78&amp;","&amp;F3,汇编指令!$C$2:$D$235,2,FALSE),"")</f>
        <v>88</v>
      </c>
      <c r="G78" s="33" t="str">
        <f>_xlfn.IFNA(VLOOKUP($C78&amp;","&amp;G3,汇编指令!$C$2:$D$235,2,FALSE),"")</f>
        <v>89</v>
      </c>
      <c r="H78" s="33" t="str">
        <f>_xlfn.IFNA(VLOOKUP($C78&amp;","&amp;H3,汇编指令!$C$2:$D$235,2,FALSE),"")</f>
        <v>8A</v>
      </c>
      <c r="I78" s="33" t="str">
        <f>_xlfn.IFNA(VLOOKUP($C78&amp;","&amp;I3,汇编指令!$C$2:$D$235,2,FALSE),"")</f>
        <v>8B</v>
      </c>
      <c r="J78" s="33" t="str">
        <f>_xlfn.IFNA(VLOOKUP($C78&amp;","&amp;J3,汇编指令!$C$2:$D$235,2,FALSE),"")</f>
        <v>8C</v>
      </c>
      <c r="K78" s="33" t="str">
        <f>_xlfn.IFNA(VLOOKUP($C78&amp;","&amp;K3,汇编指令!$C$2:$D$235,2,FALSE),"")</f>
        <v>8D</v>
      </c>
      <c r="L78" s="33" t="str">
        <f>_xlfn.IFNA(VLOOKUP($C78&amp;","&amp;L3,汇编指令!$C$2:$D$235,2,FALSE),"")</f>
        <v>8E</v>
      </c>
      <c r="M78" s="33" t="str">
        <f>_xlfn.IFNA(VLOOKUP($C78&amp;","&amp;M3,汇编指令!$C$2:$D$235,2,FALSE),"")</f>
        <v>8F</v>
      </c>
      <c r="N78" s="33" t="str">
        <f>_xlfn.IFNA(VLOOKUP($C78&amp;","&amp;N3,汇编指令!$C$2:$D$235,2,FALSE),"")</f>
        <v>75</v>
      </c>
      <c r="O78" s="33" t="str">
        <f>_xlfn.IFNA(VLOOKUP($C78&amp;","&amp;O3,汇编指令!$C$2:$D$235,2,FALSE),"")</f>
        <v>85</v>
      </c>
      <c r="P78" s="33" t="str">
        <f>_xlfn.IFNA(VLOOKUP($C78&amp;","&amp;P3,汇编指令!$C$2:$D$235,2,FALSE),"")</f>
        <v>86</v>
      </c>
      <c r="Q78" s="33" t="str">
        <f>_xlfn.IFNA(VLOOKUP($C78&amp;","&amp;Q3,汇编指令!$C$2:$D$235,2,FALSE),"")</f>
        <v>87</v>
      </c>
      <c r="R78" s="32" t="str">
        <f>_xlfn.IFNA(VLOOKUP($C78&amp;","&amp;R3,汇编指令!$C$2:$D$235,2,FALSE),"")</f>
        <v/>
      </c>
      <c r="S78" s="32" t="str">
        <f>_xlfn.IFNA(VLOOKUP($C78&amp;","&amp;S3,汇编指令!$C$2:$D$235,2,FALSE),"")</f>
        <v/>
      </c>
      <c r="T78" s="32" t="str">
        <f>_xlfn.IFNA(VLOOKUP($C78&amp;","&amp;T3,汇编指令!$C$2:$D$235,2,FALSE),"")</f>
        <v/>
      </c>
      <c r="U78" s="32" t="str">
        <f>_xlfn.IFNA(VLOOKUP($C78&amp;","&amp;U3,汇编指令!$C$2:$D$235,2,FALSE),"")</f>
        <v/>
      </c>
      <c r="V78" s="32" t="str">
        <f>_xlfn.IFNA(VLOOKUP($C78&amp;","&amp;V3,汇编指令!$C$2:$D$235,2,FALSE),"")</f>
        <v/>
      </c>
      <c r="W78" s="32" t="str">
        <f>_xlfn.IFNA(VLOOKUP($C78&amp;","&amp;W3,汇编指令!$C$2:$D$235,2,FALSE),"")</f>
        <v/>
      </c>
      <c r="X78" s="32" t="str">
        <f>_xlfn.IFNA(VLOOKUP($C78&amp;","&amp;X3,汇编指令!$C$2:$D$235,2,FALSE),"")</f>
        <v/>
      </c>
      <c r="Y78" s="32" t="str">
        <f>_xlfn.IFNA(VLOOKUP($C78&amp;","&amp;Y3,汇编指令!$C$2:$D$235,2,FALSE),"")</f>
        <v/>
      </c>
      <c r="Z78" s="32" t="str">
        <f>_xlfn.IFNA(VLOOKUP($C78&amp;","&amp;Z3,汇编指令!$C$2:$D$235,2,FALSE),"")</f>
        <v/>
      </c>
      <c r="AA78" s="32" t="str">
        <f>_xlfn.IFNA(VLOOKUP($C78&amp;","&amp;AA3,汇编指令!$C$2:$D$235,2,FALSE),"")</f>
        <v/>
      </c>
      <c r="AB78" s="32" t="str">
        <f>_xlfn.IFNA(VLOOKUP($C78&amp;","&amp;AB3,汇编指令!$C$2:$D$235,2,FALSE),"")</f>
        <v/>
      </c>
    </row>
    <row r="79" s="7" customFormat="1" ht="20" customHeight="1" spans="1:28">
      <c r="A79" s="16">
        <v>2</v>
      </c>
      <c r="B79" s="21">
        <f t="shared" si="3"/>
        <v>75</v>
      </c>
      <c r="C79" s="24" t="s">
        <v>994</v>
      </c>
      <c r="D79" s="23" t="str">
        <f t="shared" si="4"/>
        <v>4B</v>
      </c>
      <c r="E79" s="34" t="str">
        <f>_xlfn.IFNA(VLOOKUP($C79&amp;","&amp;E3,汇编指令!$C$2:$D$235,2,FALSE),"")</f>
        <v/>
      </c>
      <c r="F79" s="32" t="str">
        <f>_xlfn.IFNA(VLOOKUP($C79&amp;","&amp;F3,汇编指令!$C$2:$D$235,2,FALSE),"")</f>
        <v/>
      </c>
      <c r="G79" s="32" t="str">
        <f>_xlfn.IFNA(VLOOKUP($C79&amp;","&amp;G3,汇编指令!$C$2:$D$235,2,FALSE),"")</f>
        <v/>
      </c>
      <c r="H79" s="32" t="str">
        <f>_xlfn.IFNA(VLOOKUP($C79&amp;","&amp;H3,汇编指令!$C$2:$D$235,2,FALSE),"")</f>
        <v/>
      </c>
      <c r="I79" s="32" t="str">
        <f>_xlfn.IFNA(VLOOKUP($C79&amp;","&amp;I3,汇编指令!$C$2:$D$235,2,FALSE),"")</f>
        <v/>
      </c>
      <c r="J79" s="32" t="str">
        <f>_xlfn.IFNA(VLOOKUP($C79&amp;","&amp;J3,汇编指令!$C$2:$D$235,2,FALSE),"")</f>
        <v/>
      </c>
      <c r="K79" s="32" t="str">
        <f>_xlfn.IFNA(VLOOKUP($C79&amp;","&amp;K3,汇编指令!$C$2:$D$235,2,FALSE),"")</f>
        <v/>
      </c>
      <c r="L79" s="32" t="str">
        <f>_xlfn.IFNA(VLOOKUP($C79&amp;","&amp;L3,汇编指令!$C$2:$D$235,2,FALSE),"")</f>
        <v/>
      </c>
      <c r="M79" s="32" t="str">
        <f>_xlfn.IFNA(VLOOKUP($C79&amp;","&amp;M3,汇编指令!$C$2:$D$235,2,FALSE),"")</f>
        <v/>
      </c>
      <c r="N79" s="32" t="str">
        <f>_xlfn.IFNA(VLOOKUP($C79&amp;","&amp;N3,汇编指令!$C$2:$D$235,2,FALSE),"")</f>
        <v/>
      </c>
      <c r="O79" s="32" t="str">
        <f>_xlfn.IFNA(VLOOKUP($C79&amp;","&amp;O3,汇编指令!$C$2:$D$235,2,FALSE),"")</f>
        <v/>
      </c>
      <c r="P79" s="32" t="str">
        <f>_xlfn.IFNA(VLOOKUP($C79&amp;","&amp;P3,汇编指令!$C$2:$D$235,2,FALSE),"")</f>
        <v/>
      </c>
      <c r="Q79" s="32" t="str">
        <f>_xlfn.IFNA(VLOOKUP($C79&amp;","&amp;Q3,汇编指令!$C$2:$D$235,2,FALSE),"")</f>
        <v/>
      </c>
      <c r="R79" s="32" t="str">
        <f>_xlfn.IFNA(VLOOKUP($C79&amp;","&amp;R3,汇编指令!$C$2:$D$235,2,FALSE),"")</f>
        <v/>
      </c>
      <c r="S79" s="33" t="str">
        <f>_xlfn.IFNA(VLOOKUP($C79&amp;","&amp;S3,汇编指令!$C$2:$D$235,2,FALSE),"")</f>
        <v>90</v>
      </c>
      <c r="T79" s="32" t="str">
        <f>_xlfn.IFNA(VLOOKUP($C79&amp;","&amp;T3,汇编指令!$C$2:$D$235,2,FALSE),"")</f>
        <v/>
      </c>
      <c r="U79" s="32" t="str">
        <f>_xlfn.IFNA(VLOOKUP($C79&amp;","&amp;U3,汇编指令!$C$2:$D$235,2,FALSE),"")</f>
        <v/>
      </c>
      <c r="V79" s="32" t="str">
        <f>_xlfn.IFNA(VLOOKUP($C79&amp;","&amp;V3,汇编指令!$C$2:$D$235,2,FALSE),"")</f>
        <v/>
      </c>
      <c r="W79" s="32" t="str">
        <f>_xlfn.IFNA(VLOOKUP($C79&amp;","&amp;W3,汇编指令!$C$2:$D$235,2,FALSE),"")</f>
        <v/>
      </c>
      <c r="X79" s="32" t="str">
        <f>_xlfn.IFNA(VLOOKUP($C79&amp;","&amp;X3,汇编指令!$C$2:$D$235,2,FALSE),"")</f>
        <v/>
      </c>
      <c r="Y79" s="32" t="str">
        <f>_xlfn.IFNA(VLOOKUP($C79&amp;","&amp;Y3,汇编指令!$C$2:$D$235,2,FALSE),"")</f>
        <v/>
      </c>
      <c r="Z79" s="32" t="str">
        <f>_xlfn.IFNA(VLOOKUP($C79&amp;","&amp;Z3,汇编指令!$C$2:$D$235,2,FALSE),"")</f>
        <v/>
      </c>
      <c r="AA79" s="32" t="str">
        <f>_xlfn.IFNA(VLOOKUP($C79&amp;","&amp;AA3,汇编指令!$C$2:$D$235,2,FALSE),"")</f>
        <v/>
      </c>
      <c r="AB79" s="32" t="str">
        <f>_xlfn.IFNA(VLOOKUP($C79&amp;","&amp;AB3,汇编指令!$C$2:$D$235,2,FALSE),"")</f>
        <v/>
      </c>
    </row>
    <row r="80" s="7" customFormat="1" ht="20" customHeight="1" spans="1:28">
      <c r="A80" s="16">
        <v>2</v>
      </c>
      <c r="B80" s="21">
        <f t="shared" si="3"/>
        <v>76</v>
      </c>
      <c r="C80" s="24" t="s">
        <v>995</v>
      </c>
      <c r="D80" s="23" t="str">
        <f t="shared" si="4"/>
        <v>4C</v>
      </c>
      <c r="E80" s="31" t="str">
        <f>_xlfn.IFNA(VLOOKUP($C80&amp;","&amp;E3,汇编指令!$C$2:$D$235,2,FALSE),"")</f>
        <v>F8</v>
      </c>
      <c r="F80" s="32" t="str">
        <f>_xlfn.IFNA(VLOOKUP($C80&amp;","&amp;F3,汇编指令!$C$2:$D$235,2,FALSE),"")</f>
        <v/>
      </c>
      <c r="G80" s="32" t="str">
        <f>_xlfn.IFNA(VLOOKUP($C80&amp;","&amp;G3,汇编指令!$C$2:$D$235,2,FALSE),"")</f>
        <v/>
      </c>
      <c r="H80" s="32" t="str">
        <f>_xlfn.IFNA(VLOOKUP($C80&amp;","&amp;H3,汇编指令!$C$2:$D$235,2,FALSE),"")</f>
        <v/>
      </c>
      <c r="I80" s="32" t="str">
        <f>_xlfn.IFNA(VLOOKUP($C80&amp;","&amp;I3,汇编指令!$C$2:$D$235,2,FALSE),"")</f>
        <v/>
      </c>
      <c r="J80" s="32" t="str">
        <f>_xlfn.IFNA(VLOOKUP($C80&amp;","&amp;J3,汇编指令!$C$2:$D$235,2,FALSE),"")</f>
        <v/>
      </c>
      <c r="K80" s="32" t="str">
        <f>_xlfn.IFNA(VLOOKUP($C80&amp;","&amp;K3,汇编指令!$C$2:$D$235,2,FALSE),"")</f>
        <v/>
      </c>
      <c r="L80" s="32" t="str">
        <f>_xlfn.IFNA(VLOOKUP($C80&amp;","&amp;L3,汇编指令!$C$2:$D$235,2,FALSE),"")</f>
        <v/>
      </c>
      <c r="M80" s="32" t="str">
        <f>_xlfn.IFNA(VLOOKUP($C80&amp;","&amp;M3,汇编指令!$C$2:$D$235,2,FALSE),"")</f>
        <v/>
      </c>
      <c r="N80" s="33" t="str">
        <f>_xlfn.IFNA(VLOOKUP($C80&amp;","&amp;N3,汇编指令!$C$2:$D$235,2,FALSE),"")</f>
        <v>78</v>
      </c>
      <c r="O80" s="33" t="str">
        <f>_xlfn.IFNA(VLOOKUP($C80&amp;","&amp;O3,汇编指令!$C$2:$D$235,2,FALSE),"")</f>
        <v>A8</v>
      </c>
      <c r="P80" s="32" t="str">
        <f>_xlfn.IFNA(VLOOKUP($C80&amp;","&amp;P3,汇编指令!$C$2:$D$235,2,FALSE),"")</f>
        <v/>
      </c>
      <c r="Q80" s="32" t="str">
        <f>_xlfn.IFNA(VLOOKUP($C80&amp;","&amp;Q3,汇编指令!$C$2:$D$235,2,FALSE),"")</f>
        <v/>
      </c>
      <c r="R80" s="32" t="str">
        <f>_xlfn.IFNA(VLOOKUP($C80&amp;","&amp;R3,汇编指令!$C$2:$D$235,2,FALSE),"")</f>
        <v/>
      </c>
      <c r="S80" s="32" t="str">
        <f>_xlfn.IFNA(VLOOKUP($C80&amp;","&amp;S3,汇编指令!$C$2:$D$235,2,FALSE),"")</f>
        <v/>
      </c>
      <c r="T80" s="32" t="str">
        <f>_xlfn.IFNA(VLOOKUP($C80&amp;","&amp;T3,汇编指令!$C$2:$D$235,2,FALSE),"")</f>
        <v/>
      </c>
      <c r="U80" s="32" t="str">
        <f>_xlfn.IFNA(VLOOKUP($C80&amp;","&amp;U3,汇编指令!$C$2:$D$235,2,FALSE),"")</f>
        <v/>
      </c>
      <c r="V80" s="32" t="str">
        <f>_xlfn.IFNA(VLOOKUP($C80&amp;","&amp;V3,汇编指令!$C$2:$D$235,2,FALSE),"")</f>
        <v/>
      </c>
      <c r="W80" s="32" t="str">
        <f>_xlfn.IFNA(VLOOKUP($C80&amp;","&amp;W3,汇编指令!$C$2:$D$235,2,FALSE),"")</f>
        <v/>
      </c>
      <c r="X80" s="32" t="str">
        <f>_xlfn.IFNA(VLOOKUP($C80&amp;","&amp;X3,汇编指令!$C$2:$D$235,2,FALSE),"")</f>
        <v/>
      </c>
      <c r="Y80" s="32" t="str">
        <f>_xlfn.IFNA(VLOOKUP($C80&amp;","&amp;Y3,汇编指令!$C$2:$D$235,2,FALSE),"")</f>
        <v/>
      </c>
      <c r="Z80" s="32" t="str">
        <f>_xlfn.IFNA(VLOOKUP($C80&amp;","&amp;Z3,汇编指令!$C$2:$D$235,2,FALSE),"")</f>
        <v/>
      </c>
      <c r="AA80" s="32" t="str">
        <f>_xlfn.IFNA(VLOOKUP($C80&amp;","&amp;AA3,汇编指令!$C$2:$D$235,2,FALSE),"")</f>
        <v/>
      </c>
      <c r="AB80" s="32" t="str">
        <f>_xlfn.IFNA(VLOOKUP($C80&amp;","&amp;AB3,汇编指令!$C$2:$D$235,2,FALSE),"")</f>
        <v/>
      </c>
    </row>
    <row r="81" ht="20" customHeight="1" spans="1:28">
      <c r="A81" s="16">
        <v>2</v>
      </c>
      <c r="B81" s="21">
        <f t="shared" si="3"/>
        <v>77</v>
      </c>
      <c r="C81" s="24" t="s">
        <v>996</v>
      </c>
      <c r="D81" s="23" t="str">
        <f t="shared" si="4"/>
        <v>4D</v>
      </c>
      <c r="E81" s="31" t="str">
        <f>_xlfn.IFNA(VLOOKUP($C81&amp;","&amp;E3,汇编指令!$C$2:$D$235,2,FALSE),"")</f>
        <v>F9</v>
      </c>
      <c r="F81" s="32" t="str">
        <f>_xlfn.IFNA(VLOOKUP($C81&amp;","&amp;F3,汇编指令!$C$2:$D$235,2,FALSE),"")</f>
        <v/>
      </c>
      <c r="G81" s="32" t="str">
        <f>_xlfn.IFNA(VLOOKUP($C81&amp;","&amp;G3,汇编指令!$C$2:$D$235,2,FALSE),"")</f>
        <v/>
      </c>
      <c r="H81" s="32" t="str">
        <f>_xlfn.IFNA(VLOOKUP($C81&amp;","&amp;H3,汇编指令!$C$2:$D$235,2,FALSE),"")</f>
        <v/>
      </c>
      <c r="I81" s="32" t="str">
        <f>_xlfn.IFNA(VLOOKUP($C81&amp;","&amp;I3,汇编指令!$C$2:$D$235,2,FALSE),"")</f>
        <v/>
      </c>
      <c r="J81" s="32" t="str">
        <f>_xlfn.IFNA(VLOOKUP($C81&amp;","&amp;J3,汇编指令!$C$2:$D$235,2,FALSE),"")</f>
        <v/>
      </c>
      <c r="K81" s="32" t="str">
        <f>_xlfn.IFNA(VLOOKUP($C81&amp;","&amp;K3,汇编指令!$C$2:$D$235,2,FALSE),"")</f>
        <v/>
      </c>
      <c r="L81" s="32" t="str">
        <f>_xlfn.IFNA(VLOOKUP($C81&amp;","&amp;L3,汇编指令!$C$2:$D$235,2,FALSE),"")</f>
        <v/>
      </c>
      <c r="M81" s="32" t="str">
        <f>_xlfn.IFNA(VLOOKUP($C81&amp;","&amp;M3,汇编指令!$C$2:$D$235,2,FALSE),"")</f>
        <v/>
      </c>
      <c r="N81" s="33" t="str">
        <f>_xlfn.IFNA(VLOOKUP($C81&amp;","&amp;N3,汇编指令!$C$2:$D$235,2,FALSE),"")</f>
        <v>79</v>
      </c>
      <c r="O81" s="33" t="str">
        <f>_xlfn.IFNA(VLOOKUP($C81&amp;","&amp;O3,汇编指令!$C$2:$D$235,2,FALSE),"")</f>
        <v>A9</v>
      </c>
      <c r="P81" s="32" t="str">
        <f>_xlfn.IFNA(VLOOKUP($C81&amp;","&amp;P3,汇编指令!$C$2:$D$235,2,FALSE),"")</f>
        <v/>
      </c>
      <c r="Q81" s="32" t="str">
        <f>_xlfn.IFNA(VLOOKUP($C81&amp;","&amp;Q3,汇编指令!$C$2:$D$235,2,FALSE),"")</f>
        <v/>
      </c>
      <c r="R81" s="32" t="str">
        <f>_xlfn.IFNA(VLOOKUP($C81&amp;","&amp;R3,汇编指令!$C$2:$D$235,2,FALSE),"")</f>
        <v/>
      </c>
      <c r="S81" s="32" t="str">
        <f>_xlfn.IFNA(VLOOKUP($C81&amp;","&amp;S3,汇编指令!$C$2:$D$235,2,FALSE),"")</f>
        <v/>
      </c>
      <c r="T81" s="32" t="str">
        <f>_xlfn.IFNA(VLOOKUP($C81&amp;","&amp;T3,汇编指令!$C$2:$D$235,2,FALSE),"")</f>
        <v/>
      </c>
      <c r="U81" s="32" t="str">
        <f>_xlfn.IFNA(VLOOKUP($C81&amp;","&amp;U3,汇编指令!$C$2:$D$235,2,FALSE),"")</f>
        <v/>
      </c>
      <c r="V81" s="32" t="str">
        <f>_xlfn.IFNA(VLOOKUP($C81&amp;","&amp;V3,汇编指令!$C$2:$D$235,2,FALSE),"")</f>
        <v/>
      </c>
      <c r="W81" s="32" t="str">
        <f>_xlfn.IFNA(VLOOKUP($C81&amp;","&amp;W3,汇编指令!$C$2:$D$235,2,FALSE),"")</f>
        <v/>
      </c>
      <c r="X81" s="32" t="str">
        <f>_xlfn.IFNA(VLOOKUP($C81&amp;","&amp;X3,汇编指令!$C$2:$D$235,2,FALSE),"")</f>
        <v/>
      </c>
      <c r="Y81" s="32" t="str">
        <f>_xlfn.IFNA(VLOOKUP($C81&amp;","&amp;Y3,汇编指令!$C$2:$D$235,2,FALSE),"")</f>
        <v/>
      </c>
      <c r="Z81" s="32" t="str">
        <f>_xlfn.IFNA(VLOOKUP($C81&amp;","&amp;Z3,汇编指令!$C$2:$D$235,2,FALSE),"")</f>
        <v/>
      </c>
      <c r="AA81" s="32" t="str">
        <f>_xlfn.IFNA(VLOOKUP($C81&amp;","&amp;AA3,汇编指令!$C$2:$D$235,2,FALSE),"")</f>
        <v/>
      </c>
      <c r="AB81" s="32" t="str">
        <f>_xlfn.IFNA(VLOOKUP($C81&amp;","&amp;AB3,汇编指令!$C$2:$D$235,2,FALSE),"")</f>
        <v/>
      </c>
    </row>
    <row r="82" ht="20" customHeight="1" spans="1:28">
      <c r="A82" s="16">
        <v>2</v>
      </c>
      <c r="B82" s="21">
        <f t="shared" si="3"/>
        <v>78</v>
      </c>
      <c r="C82" s="24" t="s">
        <v>997</v>
      </c>
      <c r="D82" s="23" t="str">
        <f t="shared" si="4"/>
        <v>4E</v>
      </c>
      <c r="E82" s="31" t="str">
        <f>_xlfn.IFNA(VLOOKUP($C82&amp;","&amp;E3,汇编指令!$C$2:$D$235,2,FALSE),"")</f>
        <v>FA</v>
      </c>
      <c r="F82" s="32" t="str">
        <f>_xlfn.IFNA(VLOOKUP($C82&amp;","&amp;F3,汇编指令!$C$2:$D$235,2,FALSE),"")</f>
        <v/>
      </c>
      <c r="G82" s="32" t="str">
        <f>_xlfn.IFNA(VLOOKUP($C82&amp;","&amp;G3,汇编指令!$C$2:$D$235,2,FALSE),"")</f>
        <v/>
      </c>
      <c r="H82" s="32" t="str">
        <f>_xlfn.IFNA(VLOOKUP($C82&amp;","&amp;H3,汇编指令!$C$2:$D$235,2,FALSE),"")</f>
        <v/>
      </c>
      <c r="I82" s="32" t="str">
        <f>_xlfn.IFNA(VLOOKUP($C82&amp;","&amp;I3,汇编指令!$C$2:$D$235,2,FALSE),"")</f>
        <v/>
      </c>
      <c r="J82" s="32" t="str">
        <f>_xlfn.IFNA(VLOOKUP($C82&amp;","&amp;J3,汇编指令!$C$2:$D$235,2,FALSE),"")</f>
        <v/>
      </c>
      <c r="K82" s="32" t="str">
        <f>_xlfn.IFNA(VLOOKUP($C82&amp;","&amp;K3,汇编指令!$C$2:$D$235,2,FALSE),"")</f>
        <v/>
      </c>
      <c r="L82" s="32" t="str">
        <f>_xlfn.IFNA(VLOOKUP($C82&amp;","&amp;L3,汇编指令!$C$2:$D$235,2,FALSE),"")</f>
        <v/>
      </c>
      <c r="M82" s="32" t="str">
        <f>_xlfn.IFNA(VLOOKUP($C82&amp;","&amp;M3,汇编指令!$C$2:$D$235,2,FALSE),"")</f>
        <v/>
      </c>
      <c r="N82" s="33" t="str">
        <f>_xlfn.IFNA(VLOOKUP($C82&amp;","&amp;N3,汇编指令!$C$2:$D$235,2,FALSE),"")</f>
        <v>7A</v>
      </c>
      <c r="O82" s="33" t="str">
        <f>_xlfn.IFNA(VLOOKUP($C82&amp;","&amp;O3,汇编指令!$C$2:$D$235,2,FALSE),"")</f>
        <v>AA</v>
      </c>
      <c r="P82" s="32" t="str">
        <f>_xlfn.IFNA(VLOOKUP($C82&amp;","&amp;P3,汇编指令!$C$2:$D$235,2,FALSE),"")</f>
        <v/>
      </c>
      <c r="Q82" s="32" t="str">
        <f>_xlfn.IFNA(VLOOKUP($C82&amp;","&amp;Q3,汇编指令!$C$2:$D$235,2,FALSE),"")</f>
        <v/>
      </c>
      <c r="R82" s="32" t="str">
        <f>_xlfn.IFNA(VLOOKUP($C82&amp;","&amp;R3,汇编指令!$C$2:$D$235,2,FALSE),"")</f>
        <v/>
      </c>
      <c r="S82" s="32" t="str">
        <f>_xlfn.IFNA(VLOOKUP($C82&amp;","&amp;S3,汇编指令!$C$2:$D$235,2,FALSE),"")</f>
        <v/>
      </c>
      <c r="T82" s="32" t="str">
        <f>_xlfn.IFNA(VLOOKUP($C82&amp;","&amp;T3,汇编指令!$C$2:$D$235,2,FALSE),"")</f>
        <v/>
      </c>
      <c r="U82" s="32" t="str">
        <f>_xlfn.IFNA(VLOOKUP($C82&amp;","&amp;U3,汇编指令!$C$2:$D$235,2,FALSE),"")</f>
        <v/>
      </c>
      <c r="V82" s="32" t="str">
        <f>_xlfn.IFNA(VLOOKUP($C82&amp;","&amp;V3,汇编指令!$C$2:$D$235,2,FALSE),"")</f>
        <v/>
      </c>
      <c r="W82" s="32" t="str">
        <f>_xlfn.IFNA(VLOOKUP($C82&amp;","&amp;W3,汇编指令!$C$2:$D$235,2,FALSE),"")</f>
        <v/>
      </c>
      <c r="X82" s="32" t="str">
        <f>_xlfn.IFNA(VLOOKUP($C82&amp;","&amp;X3,汇编指令!$C$2:$D$235,2,FALSE),"")</f>
        <v/>
      </c>
      <c r="Y82" s="32" t="str">
        <f>_xlfn.IFNA(VLOOKUP($C82&amp;","&amp;Y3,汇编指令!$C$2:$D$235,2,FALSE),"")</f>
        <v/>
      </c>
      <c r="Z82" s="32" t="str">
        <f>_xlfn.IFNA(VLOOKUP($C82&amp;","&amp;Z3,汇编指令!$C$2:$D$235,2,FALSE),"")</f>
        <v/>
      </c>
      <c r="AA82" s="32" t="str">
        <f>_xlfn.IFNA(VLOOKUP($C82&amp;","&amp;AA3,汇编指令!$C$2:$D$235,2,FALSE),"")</f>
        <v/>
      </c>
      <c r="AB82" s="32" t="str">
        <f>_xlfn.IFNA(VLOOKUP($C82&amp;","&amp;AB3,汇编指令!$C$2:$D$235,2,FALSE),"")</f>
        <v/>
      </c>
    </row>
    <row r="83" ht="20" customHeight="1" spans="1:28">
      <c r="A83" s="16">
        <v>2</v>
      </c>
      <c r="B83" s="21">
        <f t="shared" si="3"/>
        <v>79</v>
      </c>
      <c r="C83" s="24" t="s">
        <v>998</v>
      </c>
      <c r="D83" s="23" t="str">
        <f t="shared" si="4"/>
        <v>4F</v>
      </c>
      <c r="E83" s="31" t="str">
        <f>_xlfn.IFNA(VLOOKUP($C83&amp;","&amp;E3,汇编指令!$C$2:$D$235,2,FALSE),"")</f>
        <v>FB</v>
      </c>
      <c r="F83" s="32" t="str">
        <f>_xlfn.IFNA(VLOOKUP($C83&amp;","&amp;F3,汇编指令!$C$2:$D$235,2,FALSE),"")</f>
        <v/>
      </c>
      <c r="G83" s="32" t="str">
        <f>_xlfn.IFNA(VLOOKUP($C83&amp;","&amp;G3,汇编指令!$C$2:$D$235,2,FALSE),"")</f>
        <v/>
      </c>
      <c r="H83" s="32" t="str">
        <f>_xlfn.IFNA(VLOOKUP($C83&amp;","&amp;H3,汇编指令!$C$2:$D$235,2,FALSE),"")</f>
        <v/>
      </c>
      <c r="I83" s="32" t="str">
        <f>_xlfn.IFNA(VLOOKUP($C83&amp;","&amp;I3,汇编指令!$C$2:$D$235,2,FALSE),"")</f>
        <v/>
      </c>
      <c r="J83" s="32" t="str">
        <f>_xlfn.IFNA(VLOOKUP($C83&amp;","&amp;J3,汇编指令!$C$2:$D$235,2,FALSE),"")</f>
        <v/>
      </c>
      <c r="K83" s="32" t="str">
        <f>_xlfn.IFNA(VLOOKUP($C83&amp;","&amp;K3,汇编指令!$C$2:$D$235,2,FALSE),"")</f>
        <v/>
      </c>
      <c r="L83" s="32" t="str">
        <f>_xlfn.IFNA(VLOOKUP($C83&amp;","&amp;L3,汇编指令!$C$2:$D$235,2,FALSE),"")</f>
        <v/>
      </c>
      <c r="M83" s="32" t="str">
        <f>_xlfn.IFNA(VLOOKUP($C83&amp;","&amp;M3,汇编指令!$C$2:$D$235,2,FALSE),"")</f>
        <v/>
      </c>
      <c r="N83" s="33" t="str">
        <f>_xlfn.IFNA(VLOOKUP($C83&amp;","&amp;N3,汇编指令!$C$2:$D$235,2,FALSE),"")</f>
        <v>7B</v>
      </c>
      <c r="O83" s="33" t="str">
        <f>_xlfn.IFNA(VLOOKUP($C83&amp;","&amp;O3,汇编指令!$C$2:$D$235,2,FALSE),"")</f>
        <v>AB</v>
      </c>
      <c r="P83" s="32" t="str">
        <f>_xlfn.IFNA(VLOOKUP($C83&amp;","&amp;P3,汇编指令!$C$2:$D$235,2,FALSE),"")</f>
        <v/>
      </c>
      <c r="Q83" s="32" t="str">
        <f>_xlfn.IFNA(VLOOKUP($C83&amp;","&amp;Q3,汇编指令!$C$2:$D$235,2,FALSE),"")</f>
        <v/>
      </c>
      <c r="R83" s="32" t="str">
        <f>_xlfn.IFNA(VLOOKUP($C83&amp;","&amp;R3,汇编指令!$C$2:$D$235,2,FALSE),"")</f>
        <v/>
      </c>
      <c r="S83" s="32" t="str">
        <f>_xlfn.IFNA(VLOOKUP($C83&amp;","&amp;S3,汇编指令!$C$2:$D$235,2,FALSE),"")</f>
        <v/>
      </c>
      <c r="T83" s="32" t="str">
        <f>_xlfn.IFNA(VLOOKUP($C83&amp;","&amp;T3,汇编指令!$C$2:$D$235,2,FALSE),"")</f>
        <v/>
      </c>
      <c r="U83" s="32" t="str">
        <f>_xlfn.IFNA(VLOOKUP($C83&amp;","&amp;U3,汇编指令!$C$2:$D$235,2,FALSE),"")</f>
        <v/>
      </c>
      <c r="V83" s="32" t="str">
        <f>_xlfn.IFNA(VLOOKUP($C83&amp;","&amp;V3,汇编指令!$C$2:$D$235,2,FALSE),"")</f>
        <v/>
      </c>
      <c r="W83" s="32" t="str">
        <f>_xlfn.IFNA(VLOOKUP($C83&amp;","&amp;W3,汇编指令!$C$2:$D$235,2,FALSE),"")</f>
        <v/>
      </c>
      <c r="X83" s="32" t="str">
        <f>_xlfn.IFNA(VLOOKUP($C83&amp;","&amp;X3,汇编指令!$C$2:$D$235,2,FALSE),"")</f>
        <v/>
      </c>
      <c r="Y83" s="32" t="str">
        <f>_xlfn.IFNA(VLOOKUP($C83&amp;","&amp;Y3,汇编指令!$C$2:$D$235,2,FALSE),"")</f>
        <v/>
      </c>
      <c r="Z83" s="32" t="str">
        <f>_xlfn.IFNA(VLOOKUP($C83&amp;","&amp;Z3,汇编指令!$C$2:$D$235,2,FALSE),"")</f>
        <v/>
      </c>
      <c r="AA83" s="32" t="str">
        <f>_xlfn.IFNA(VLOOKUP($C83&amp;","&amp;AA3,汇编指令!$C$2:$D$235,2,FALSE),"")</f>
        <v/>
      </c>
      <c r="AB83" s="32" t="str">
        <f>_xlfn.IFNA(VLOOKUP($C83&amp;","&amp;AB3,汇编指令!$C$2:$D$235,2,FALSE),"")</f>
        <v/>
      </c>
    </row>
    <row r="84" ht="20" customHeight="1" spans="1:28">
      <c r="A84" s="16">
        <v>2</v>
      </c>
      <c r="B84" s="21">
        <f t="shared" si="3"/>
        <v>80</v>
      </c>
      <c r="C84" s="24" t="s">
        <v>999</v>
      </c>
      <c r="D84" s="23" t="str">
        <f t="shared" si="4"/>
        <v>50</v>
      </c>
      <c r="E84" s="31" t="str">
        <f>_xlfn.IFNA(VLOOKUP($C84&amp;","&amp;E3,汇编指令!$C$2:$D$235,2,FALSE),"")</f>
        <v>FC</v>
      </c>
      <c r="F84" s="32" t="str">
        <f>_xlfn.IFNA(VLOOKUP($C84&amp;","&amp;F3,汇编指令!$C$2:$D$235,2,FALSE),"")</f>
        <v/>
      </c>
      <c r="G84" s="32" t="str">
        <f>_xlfn.IFNA(VLOOKUP($C84&amp;","&amp;G3,汇编指令!$C$2:$D$235,2,FALSE),"")</f>
        <v/>
      </c>
      <c r="H84" s="32" t="str">
        <f>_xlfn.IFNA(VLOOKUP($C84&amp;","&amp;H3,汇编指令!$C$2:$D$235,2,FALSE),"")</f>
        <v/>
      </c>
      <c r="I84" s="32" t="str">
        <f>_xlfn.IFNA(VLOOKUP($C84&amp;","&amp;I3,汇编指令!$C$2:$D$235,2,FALSE),"")</f>
        <v/>
      </c>
      <c r="J84" s="32" t="str">
        <f>_xlfn.IFNA(VLOOKUP($C84&amp;","&amp;J3,汇编指令!$C$2:$D$235,2,FALSE),"")</f>
        <v/>
      </c>
      <c r="K84" s="32" t="str">
        <f>_xlfn.IFNA(VLOOKUP($C84&amp;","&amp;K3,汇编指令!$C$2:$D$235,2,FALSE),"")</f>
        <v/>
      </c>
      <c r="L84" s="32" t="str">
        <f>_xlfn.IFNA(VLOOKUP($C84&amp;","&amp;L3,汇编指令!$C$2:$D$235,2,FALSE),"")</f>
        <v/>
      </c>
      <c r="M84" s="32" t="str">
        <f>_xlfn.IFNA(VLOOKUP($C84&amp;","&amp;M3,汇编指令!$C$2:$D$235,2,FALSE),"")</f>
        <v/>
      </c>
      <c r="N84" s="33" t="str">
        <f>_xlfn.IFNA(VLOOKUP($C84&amp;","&amp;N3,汇编指令!$C$2:$D$235,2,FALSE),"")</f>
        <v>7C</v>
      </c>
      <c r="O84" s="33" t="str">
        <f>_xlfn.IFNA(VLOOKUP($C84&amp;","&amp;O3,汇编指令!$C$2:$D$235,2,FALSE),"")</f>
        <v>AC</v>
      </c>
      <c r="P84" s="32" t="str">
        <f>_xlfn.IFNA(VLOOKUP($C84&amp;","&amp;P3,汇编指令!$C$2:$D$235,2,FALSE),"")</f>
        <v/>
      </c>
      <c r="Q84" s="32" t="str">
        <f>_xlfn.IFNA(VLOOKUP($C84&amp;","&amp;Q3,汇编指令!$C$2:$D$235,2,FALSE),"")</f>
        <v/>
      </c>
      <c r="R84" s="32" t="str">
        <f>_xlfn.IFNA(VLOOKUP($C84&amp;","&amp;R3,汇编指令!$C$2:$D$235,2,FALSE),"")</f>
        <v/>
      </c>
      <c r="S84" s="32" t="str">
        <f>_xlfn.IFNA(VLOOKUP($C84&amp;","&amp;S3,汇编指令!$C$2:$D$235,2,FALSE),"")</f>
        <v/>
      </c>
      <c r="T84" s="32" t="str">
        <f>_xlfn.IFNA(VLOOKUP($C84&amp;","&amp;T3,汇编指令!$C$2:$D$235,2,FALSE),"")</f>
        <v/>
      </c>
      <c r="U84" s="32" t="str">
        <f>_xlfn.IFNA(VLOOKUP($C84&amp;","&amp;U3,汇编指令!$C$2:$D$235,2,FALSE),"")</f>
        <v/>
      </c>
      <c r="V84" s="32" t="str">
        <f>_xlfn.IFNA(VLOOKUP($C84&amp;","&amp;V3,汇编指令!$C$2:$D$235,2,FALSE),"")</f>
        <v/>
      </c>
      <c r="W84" s="32" t="str">
        <f>_xlfn.IFNA(VLOOKUP($C84&amp;","&amp;W3,汇编指令!$C$2:$D$235,2,FALSE),"")</f>
        <v/>
      </c>
      <c r="X84" s="32" t="str">
        <f>_xlfn.IFNA(VLOOKUP($C84&amp;","&amp;X3,汇编指令!$C$2:$D$235,2,FALSE),"")</f>
        <v/>
      </c>
      <c r="Y84" s="32" t="str">
        <f>_xlfn.IFNA(VLOOKUP($C84&amp;","&amp;Y3,汇编指令!$C$2:$D$235,2,FALSE),"")</f>
        <v/>
      </c>
      <c r="Z84" s="32" t="str">
        <f>_xlfn.IFNA(VLOOKUP($C84&amp;","&amp;Z3,汇编指令!$C$2:$D$235,2,FALSE),"")</f>
        <v/>
      </c>
      <c r="AA84" s="32" t="str">
        <f>_xlfn.IFNA(VLOOKUP($C84&amp;","&amp;AA3,汇编指令!$C$2:$D$235,2,FALSE),"")</f>
        <v/>
      </c>
      <c r="AB84" s="32" t="str">
        <f>_xlfn.IFNA(VLOOKUP($C84&amp;","&amp;AB3,汇编指令!$C$2:$D$235,2,FALSE),"")</f>
        <v/>
      </c>
    </row>
    <row r="85" ht="20" customHeight="1" spans="1:28">
      <c r="A85" s="16">
        <v>2</v>
      </c>
      <c r="B85" s="21">
        <f t="shared" si="3"/>
        <v>81</v>
      </c>
      <c r="C85" s="24" t="s">
        <v>1000</v>
      </c>
      <c r="D85" s="23" t="str">
        <f t="shared" si="4"/>
        <v>51</v>
      </c>
      <c r="E85" s="31" t="str">
        <f>_xlfn.IFNA(VLOOKUP($C85&amp;","&amp;E3,汇编指令!$C$2:$D$235,2,FALSE),"")</f>
        <v>FD</v>
      </c>
      <c r="F85" s="32" t="str">
        <f>_xlfn.IFNA(VLOOKUP($C85&amp;","&amp;F3,汇编指令!$C$2:$D$235,2,FALSE),"")</f>
        <v/>
      </c>
      <c r="G85" s="32" t="str">
        <f>_xlfn.IFNA(VLOOKUP($C85&amp;","&amp;G3,汇编指令!$C$2:$D$235,2,FALSE),"")</f>
        <v/>
      </c>
      <c r="H85" s="32" t="str">
        <f>_xlfn.IFNA(VLOOKUP($C85&amp;","&amp;H3,汇编指令!$C$2:$D$235,2,FALSE),"")</f>
        <v/>
      </c>
      <c r="I85" s="32" t="str">
        <f>_xlfn.IFNA(VLOOKUP($C85&amp;","&amp;I3,汇编指令!$C$2:$D$235,2,FALSE),"")</f>
        <v/>
      </c>
      <c r="J85" s="32" t="str">
        <f>_xlfn.IFNA(VLOOKUP($C85&amp;","&amp;J3,汇编指令!$C$2:$D$235,2,FALSE),"")</f>
        <v/>
      </c>
      <c r="K85" s="32" t="str">
        <f>_xlfn.IFNA(VLOOKUP($C85&amp;","&amp;K3,汇编指令!$C$2:$D$235,2,FALSE),"")</f>
        <v/>
      </c>
      <c r="L85" s="32" t="str">
        <f>_xlfn.IFNA(VLOOKUP($C85&amp;","&amp;L3,汇编指令!$C$2:$D$235,2,FALSE),"")</f>
        <v/>
      </c>
      <c r="M85" s="32" t="str">
        <f>_xlfn.IFNA(VLOOKUP($C85&amp;","&amp;M3,汇编指令!$C$2:$D$235,2,FALSE),"")</f>
        <v/>
      </c>
      <c r="N85" s="33" t="str">
        <f>_xlfn.IFNA(VLOOKUP($C85&amp;","&amp;N3,汇编指令!$C$2:$D$235,2,FALSE),"")</f>
        <v>7D</v>
      </c>
      <c r="O85" s="33" t="str">
        <f>_xlfn.IFNA(VLOOKUP($C85&amp;","&amp;O3,汇编指令!$C$2:$D$235,2,FALSE),"")</f>
        <v>AD</v>
      </c>
      <c r="P85" s="32" t="str">
        <f>_xlfn.IFNA(VLOOKUP($C85&amp;","&amp;P3,汇编指令!$C$2:$D$235,2,FALSE),"")</f>
        <v/>
      </c>
      <c r="Q85" s="32" t="str">
        <f>_xlfn.IFNA(VLOOKUP($C85&amp;","&amp;Q3,汇编指令!$C$2:$D$235,2,FALSE),"")</f>
        <v/>
      </c>
      <c r="R85" s="32" t="str">
        <f>_xlfn.IFNA(VLOOKUP($C85&amp;","&amp;R3,汇编指令!$C$2:$D$235,2,FALSE),"")</f>
        <v/>
      </c>
      <c r="S85" s="32" t="str">
        <f>_xlfn.IFNA(VLOOKUP($C85&amp;","&amp;S3,汇编指令!$C$2:$D$235,2,FALSE),"")</f>
        <v/>
      </c>
      <c r="T85" s="32" t="str">
        <f>_xlfn.IFNA(VLOOKUP($C85&amp;","&amp;T3,汇编指令!$C$2:$D$235,2,FALSE),"")</f>
        <v/>
      </c>
      <c r="U85" s="32" t="str">
        <f>_xlfn.IFNA(VLOOKUP($C85&amp;","&amp;U3,汇编指令!$C$2:$D$235,2,FALSE),"")</f>
        <v/>
      </c>
      <c r="V85" s="32" t="str">
        <f>_xlfn.IFNA(VLOOKUP($C85&amp;","&amp;V3,汇编指令!$C$2:$D$235,2,FALSE),"")</f>
        <v/>
      </c>
      <c r="W85" s="32" t="str">
        <f>_xlfn.IFNA(VLOOKUP($C85&amp;","&amp;W3,汇编指令!$C$2:$D$235,2,FALSE),"")</f>
        <v/>
      </c>
      <c r="X85" s="32" t="str">
        <f>_xlfn.IFNA(VLOOKUP($C85&amp;","&amp;X3,汇编指令!$C$2:$D$235,2,FALSE),"")</f>
        <v/>
      </c>
      <c r="Y85" s="32" t="str">
        <f>_xlfn.IFNA(VLOOKUP($C85&amp;","&amp;Y3,汇编指令!$C$2:$D$235,2,FALSE),"")</f>
        <v/>
      </c>
      <c r="Z85" s="32" t="str">
        <f>_xlfn.IFNA(VLOOKUP($C85&amp;","&amp;Z3,汇编指令!$C$2:$D$235,2,FALSE),"")</f>
        <v/>
      </c>
      <c r="AA85" s="32" t="str">
        <f>_xlfn.IFNA(VLOOKUP($C85&amp;","&amp;AA3,汇编指令!$C$2:$D$235,2,FALSE),"")</f>
        <v/>
      </c>
      <c r="AB85" s="32" t="str">
        <f>_xlfn.IFNA(VLOOKUP($C85&amp;","&amp;AB3,汇编指令!$C$2:$D$235,2,FALSE),"")</f>
        <v/>
      </c>
    </row>
    <row r="86" ht="20" customHeight="1" spans="1:28">
      <c r="A86" s="16">
        <v>2</v>
      </c>
      <c r="B86" s="21">
        <f t="shared" si="3"/>
        <v>82</v>
      </c>
      <c r="C86" s="24" t="s">
        <v>1001</v>
      </c>
      <c r="D86" s="23" t="str">
        <f t="shared" si="4"/>
        <v>52</v>
      </c>
      <c r="E86" s="31" t="str">
        <f>_xlfn.IFNA(VLOOKUP($C86&amp;","&amp;E3,汇编指令!$C$2:$D$235,2,FALSE),"")</f>
        <v>FE</v>
      </c>
      <c r="F86" s="32" t="str">
        <f>_xlfn.IFNA(VLOOKUP($C86&amp;","&amp;F3,汇编指令!$C$2:$D$235,2,FALSE),"")</f>
        <v/>
      </c>
      <c r="G86" s="32" t="str">
        <f>_xlfn.IFNA(VLOOKUP($C86&amp;","&amp;G3,汇编指令!$C$2:$D$235,2,FALSE),"")</f>
        <v/>
      </c>
      <c r="H86" s="32" t="str">
        <f>_xlfn.IFNA(VLOOKUP($C86&amp;","&amp;H3,汇编指令!$C$2:$D$235,2,FALSE),"")</f>
        <v/>
      </c>
      <c r="I86" s="32" t="str">
        <f>_xlfn.IFNA(VLOOKUP($C86&amp;","&amp;I3,汇编指令!$C$2:$D$235,2,FALSE),"")</f>
        <v/>
      </c>
      <c r="J86" s="32" t="str">
        <f>_xlfn.IFNA(VLOOKUP($C86&amp;","&amp;J3,汇编指令!$C$2:$D$235,2,FALSE),"")</f>
        <v/>
      </c>
      <c r="K86" s="32" t="str">
        <f>_xlfn.IFNA(VLOOKUP($C86&amp;","&amp;K3,汇编指令!$C$2:$D$235,2,FALSE),"")</f>
        <v/>
      </c>
      <c r="L86" s="32" t="str">
        <f>_xlfn.IFNA(VLOOKUP($C86&amp;","&amp;L3,汇编指令!$C$2:$D$235,2,FALSE),"")</f>
        <v/>
      </c>
      <c r="M86" s="32" t="str">
        <f>_xlfn.IFNA(VLOOKUP($C86&amp;","&amp;M3,汇编指令!$C$2:$D$235,2,FALSE),"")</f>
        <v/>
      </c>
      <c r="N86" s="33" t="str">
        <f>_xlfn.IFNA(VLOOKUP($C86&amp;","&amp;N3,汇编指令!$C$2:$D$235,2,FALSE),"")</f>
        <v>7E</v>
      </c>
      <c r="O86" s="33" t="str">
        <f>_xlfn.IFNA(VLOOKUP($C86&amp;","&amp;O3,汇编指令!$C$2:$D$235,2,FALSE),"")</f>
        <v>AE</v>
      </c>
      <c r="P86" s="32" t="str">
        <f>_xlfn.IFNA(VLOOKUP($C86&amp;","&amp;P3,汇编指令!$C$2:$D$235,2,FALSE),"")</f>
        <v/>
      </c>
      <c r="Q86" s="32" t="str">
        <f>_xlfn.IFNA(VLOOKUP($C86&amp;","&amp;Q3,汇编指令!$C$2:$D$235,2,FALSE),"")</f>
        <v/>
      </c>
      <c r="R86" s="32" t="str">
        <f>_xlfn.IFNA(VLOOKUP($C86&amp;","&amp;R3,汇编指令!$C$2:$D$235,2,FALSE),"")</f>
        <v/>
      </c>
      <c r="S86" s="32" t="str">
        <f>_xlfn.IFNA(VLOOKUP($C86&amp;","&amp;S3,汇编指令!$C$2:$D$235,2,FALSE),"")</f>
        <v/>
      </c>
      <c r="T86" s="32" t="str">
        <f>_xlfn.IFNA(VLOOKUP($C86&amp;","&amp;T3,汇编指令!$C$2:$D$235,2,FALSE),"")</f>
        <v/>
      </c>
      <c r="U86" s="32" t="str">
        <f>_xlfn.IFNA(VLOOKUP($C86&amp;","&amp;U3,汇编指令!$C$2:$D$235,2,FALSE),"")</f>
        <v/>
      </c>
      <c r="V86" s="32" t="str">
        <f>_xlfn.IFNA(VLOOKUP($C86&amp;","&amp;V3,汇编指令!$C$2:$D$235,2,FALSE),"")</f>
        <v/>
      </c>
      <c r="W86" s="32" t="str">
        <f>_xlfn.IFNA(VLOOKUP($C86&amp;","&amp;W3,汇编指令!$C$2:$D$235,2,FALSE),"")</f>
        <v/>
      </c>
      <c r="X86" s="32" t="str">
        <f>_xlfn.IFNA(VLOOKUP($C86&amp;","&amp;X3,汇编指令!$C$2:$D$235,2,FALSE),"")</f>
        <v/>
      </c>
      <c r="Y86" s="32" t="str">
        <f>_xlfn.IFNA(VLOOKUP($C86&amp;","&amp;Y3,汇编指令!$C$2:$D$235,2,FALSE),"")</f>
        <v/>
      </c>
      <c r="Z86" s="32" t="str">
        <f>_xlfn.IFNA(VLOOKUP($C86&amp;","&amp;Z3,汇编指令!$C$2:$D$235,2,FALSE),"")</f>
        <v/>
      </c>
      <c r="AA86" s="32" t="str">
        <f>_xlfn.IFNA(VLOOKUP($C86&amp;","&amp;AA3,汇编指令!$C$2:$D$235,2,FALSE),"")</f>
        <v/>
      </c>
      <c r="AB86" s="32" t="str">
        <f>_xlfn.IFNA(VLOOKUP($C86&amp;","&amp;AB3,汇编指令!$C$2:$D$235,2,FALSE),"")</f>
        <v/>
      </c>
    </row>
    <row r="87" ht="20" customHeight="1" spans="1:28">
      <c r="A87" s="16">
        <v>2</v>
      </c>
      <c r="B87" s="21">
        <f t="shared" si="3"/>
        <v>83</v>
      </c>
      <c r="C87" s="24" t="s">
        <v>1002</v>
      </c>
      <c r="D87" s="23" t="str">
        <f t="shared" si="4"/>
        <v>53</v>
      </c>
      <c r="E87" s="31" t="str">
        <f>_xlfn.IFNA(VLOOKUP($C87&amp;","&amp;E3,汇编指令!$C$2:$D$235,2,FALSE),"")</f>
        <v>FF</v>
      </c>
      <c r="F87" s="32" t="str">
        <f>_xlfn.IFNA(VLOOKUP($C87&amp;","&amp;F3,汇编指令!$C$2:$D$235,2,FALSE),"")</f>
        <v/>
      </c>
      <c r="G87" s="32" t="str">
        <f>_xlfn.IFNA(VLOOKUP($C87&amp;","&amp;G3,汇编指令!$C$2:$D$235,2,FALSE),"")</f>
        <v/>
      </c>
      <c r="H87" s="32" t="str">
        <f>_xlfn.IFNA(VLOOKUP($C87&amp;","&amp;H3,汇编指令!$C$2:$D$235,2,FALSE),"")</f>
        <v/>
      </c>
      <c r="I87" s="32" t="str">
        <f>_xlfn.IFNA(VLOOKUP($C87&amp;","&amp;I3,汇编指令!$C$2:$D$235,2,FALSE),"")</f>
        <v/>
      </c>
      <c r="J87" s="32" t="str">
        <f>_xlfn.IFNA(VLOOKUP($C87&amp;","&amp;J3,汇编指令!$C$2:$D$235,2,FALSE),"")</f>
        <v/>
      </c>
      <c r="K87" s="32" t="str">
        <f>_xlfn.IFNA(VLOOKUP($C87&amp;","&amp;K3,汇编指令!$C$2:$D$235,2,FALSE),"")</f>
        <v/>
      </c>
      <c r="L87" s="32" t="str">
        <f>_xlfn.IFNA(VLOOKUP($C87&amp;","&amp;L3,汇编指令!$C$2:$D$235,2,FALSE),"")</f>
        <v/>
      </c>
      <c r="M87" s="32" t="str">
        <f>_xlfn.IFNA(VLOOKUP($C87&amp;","&amp;M3,汇编指令!$C$2:$D$235,2,FALSE),"")</f>
        <v/>
      </c>
      <c r="N87" s="33" t="str">
        <f>_xlfn.IFNA(VLOOKUP($C87&amp;","&amp;N3,汇编指令!$C$2:$D$235,2,FALSE),"")</f>
        <v>7F</v>
      </c>
      <c r="O87" s="33" t="str">
        <f>_xlfn.IFNA(VLOOKUP($C87&amp;","&amp;O3,汇编指令!$C$2:$D$235,2,FALSE),"")</f>
        <v>AF</v>
      </c>
      <c r="P87" s="32" t="str">
        <f>_xlfn.IFNA(VLOOKUP($C87&amp;","&amp;P3,汇编指令!$C$2:$D$235,2,FALSE),"")</f>
        <v/>
      </c>
      <c r="Q87" s="32" t="str">
        <f>_xlfn.IFNA(VLOOKUP($C87&amp;","&amp;Q3,汇编指令!$C$2:$D$235,2,FALSE),"")</f>
        <v/>
      </c>
      <c r="R87" s="32" t="str">
        <f>_xlfn.IFNA(VLOOKUP($C87&amp;","&amp;R3,汇编指令!$C$2:$D$235,2,FALSE),"")</f>
        <v/>
      </c>
      <c r="S87" s="32" t="str">
        <f>_xlfn.IFNA(VLOOKUP($C87&amp;","&amp;S3,汇编指令!$C$2:$D$235,2,FALSE),"")</f>
        <v/>
      </c>
      <c r="T87" s="32" t="str">
        <f>_xlfn.IFNA(VLOOKUP($C87&amp;","&amp;T3,汇编指令!$C$2:$D$235,2,FALSE),"")</f>
        <v/>
      </c>
      <c r="U87" s="32" t="str">
        <f>_xlfn.IFNA(VLOOKUP($C87&amp;","&amp;U3,汇编指令!$C$2:$D$235,2,FALSE),"")</f>
        <v/>
      </c>
      <c r="V87" s="32" t="str">
        <f>_xlfn.IFNA(VLOOKUP($C87&amp;","&amp;V3,汇编指令!$C$2:$D$235,2,FALSE),"")</f>
        <v/>
      </c>
      <c r="W87" s="32" t="str">
        <f>_xlfn.IFNA(VLOOKUP($C87&amp;","&amp;W3,汇编指令!$C$2:$D$235,2,FALSE),"")</f>
        <v/>
      </c>
      <c r="X87" s="32" t="str">
        <f>_xlfn.IFNA(VLOOKUP($C87&amp;","&amp;X3,汇编指令!$C$2:$D$235,2,FALSE),"")</f>
        <v/>
      </c>
      <c r="Y87" s="32" t="str">
        <f>_xlfn.IFNA(VLOOKUP($C87&amp;","&amp;Y3,汇编指令!$C$2:$D$235,2,FALSE),"")</f>
        <v/>
      </c>
      <c r="Z87" s="32" t="str">
        <f>_xlfn.IFNA(VLOOKUP($C87&amp;","&amp;Z3,汇编指令!$C$2:$D$235,2,FALSE),"")</f>
        <v/>
      </c>
      <c r="AA87" s="32" t="str">
        <f>_xlfn.IFNA(VLOOKUP($C87&amp;","&amp;AA3,汇编指令!$C$2:$D$235,2,FALSE),"")</f>
        <v/>
      </c>
      <c r="AB87" s="32" t="str">
        <f>_xlfn.IFNA(VLOOKUP($C87&amp;","&amp;AB3,汇编指令!$C$2:$D$235,2,FALSE),"")</f>
        <v/>
      </c>
    </row>
    <row r="88" ht="20" customHeight="1" spans="1:28">
      <c r="A88" s="16">
        <v>2</v>
      </c>
      <c r="B88" s="21">
        <f t="shared" si="3"/>
        <v>84</v>
      </c>
      <c r="C88" s="24" t="s">
        <v>1003</v>
      </c>
      <c r="D88" s="23" t="str">
        <f t="shared" si="4"/>
        <v>54</v>
      </c>
      <c r="E88" s="34" t="str">
        <f>_xlfn.IFNA(VLOOKUP($C88&amp;","&amp;E3,汇编指令!$C$2:$D$235,2,FALSE),"")</f>
        <v/>
      </c>
      <c r="F88" s="32" t="str">
        <f>_xlfn.IFNA(VLOOKUP($C88&amp;","&amp;F3,汇编指令!$C$2:$D$235,2,FALSE),"")</f>
        <v/>
      </c>
      <c r="G88" s="32" t="str">
        <f>_xlfn.IFNA(VLOOKUP($C88&amp;","&amp;G3,汇编指令!$C$2:$D$235,2,FALSE),"")</f>
        <v/>
      </c>
      <c r="H88" s="32" t="str">
        <f>_xlfn.IFNA(VLOOKUP($C88&amp;","&amp;H3,汇编指令!$C$2:$D$235,2,FALSE),"")</f>
        <v/>
      </c>
      <c r="I88" s="32" t="str">
        <f>_xlfn.IFNA(VLOOKUP($C88&amp;","&amp;I3,汇编指令!$C$2:$D$235,2,FALSE),"")</f>
        <v/>
      </c>
      <c r="J88" s="32" t="str">
        <f>_xlfn.IFNA(VLOOKUP($C88&amp;","&amp;J3,汇编指令!$C$2:$D$235,2,FALSE),"")</f>
        <v/>
      </c>
      <c r="K88" s="32" t="str">
        <f>_xlfn.IFNA(VLOOKUP($C88&amp;","&amp;K3,汇编指令!$C$2:$D$235,2,FALSE),"")</f>
        <v/>
      </c>
      <c r="L88" s="32" t="str">
        <f>_xlfn.IFNA(VLOOKUP($C88&amp;","&amp;L3,汇编指令!$C$2:$D$235,2,FALSE),"")</f>
        <v/>
      </c>
      <c r="M88" s="32" t="str">
        <f>_xlfn.IFNA(VLOOKUP($C88&amp;","&amp;M3,汇编指令!$C$2:$D$235,2,FALSE),"")</f>
        <v/>
      </c>
      <c r="N88" s="32" t="str">
        <f>_xlfn.IFNA(VLOOKUP($C88&amp;","&amp;N3,汇编指令!$C$2:$D$235,2,FALSE),"")</f>
        <v/>
      </c>
      <c r="O88" s="32" t="str">
        <f>_xlfn.IFNA(VLOOKUP($C88&amp;","&amp;O3,汇编指令!$C$2:$D$235,2,FALSE),"")</f>
        <v/>
      </c>
      <c r="P88" s="32" t="str">
        <f>_xlfn.IFNA(VLOOKUP($C88&amp;","&amp;P3,汇编指令!$C$2:$D$235,2,FALSE),"")</f>
        <v/>
      </c>
      <c r="Q88" s="32" t="str">
        <f>_xlfn.IFNA(VLOOKUP($C88&amp;","&amp;Q3,汇编指令!$C$2:$D$235,2,FALSE),"")</f>
        <v/>
      </c>
      <c r="R88" s="32" t="str">
        <f>_xlfn.IFNA(VLOOKUP($C88&amp;","&amp;R3,汇编指令!$C$2:$D$235,2,FALSE),"")</f>
        <v/>
      </c>
      <c r="S88" s="32" t="str">
        <f>_xlfn.IFNA(VLOOKUP($C88&amp;","&amp;S3,汇编指令!$C$2:$D$235,2,FALSE),"")</f>
        <v/>
      </c>
      <c r="T88" s="33" t="str">
        <f>_xlfn.IFNA(VLOOKUP($C88&amp;","&amp;T3,汇编指令!$C$2:$D$235,2,FALSE),"")</f>
        <v>83</v>
      </c>
      <c r="U88" s="33" t="str">
        <f>_xlfn.IFNA(VLOOKUP($C88&amp;","&amp;U3,汇编指令!$C$2:$D$235,2,FALSE),"")</f>
        <v>93</v>
      </c>
      <c r="V88" s="32" t="str">
        <f>_xlfn.IFNA(VLOOKUP($C88&amp;","&amp;V3,汇编指令!$C$2:$D$235,2,FALSE),"")</f>
        <v/>
      </c>
      <c r="W88" s="32" t="str">
        <f>_xlfn.IFNA(VLOOKUP($C88&amp;","&amp;W3,汇编指令!$C$2:$D$235,2,FALSE),"")</f>
        <v/>
      </c>
      <c r="X88" s="32" t="str">
        <f>_xlfn.IFNA(VLOOKUP($C88&amp;","&amp;X3,汇编指令!$C$2:$D$235,2,FALSE),"")</f>
        <v/>
      </c>
      <c r="Y88" s="32" t="str">
        <f>_xlfn.IFNA(VLOOKUP($C88&amp;","&amp;Y3,汇编指令!$C$2:$D$235,2,FALSE),"")</f>
        <v/>
      </c>
      <c r="Z88" s="32" t="str">
        <f>_xlfn.IFNA(VLOOKUP($C88&amp;","&amp;Z3,汇编指令!$C$2:$D$235,2,FALSE),"")</f>
        <v/>
      </c>
      <c r="AA88" s="32" t="str">
        <f>_xlfn.IFNA(VLOOKUP($C88&amp;","&amp;AA3,汇编指令!$C$2:$D$235,2,FALSE),"")</f>
        <v/>
      </c>
      <c r="AB88" s="32" t="str">
        <f>_xlfn.IFNA(VLOOKUP($C88&amp;","&amp;AB3,汇编指令!$C$2:$D$235,2,FALSE),"")</f>
        <v/>
      </c>
    </row>
    <row r="89" ht="20" customHeight="1" spans="1:28">
      <c r="A89" s="16">
        <v>2</v>
      </c>
      <c r="B89" s="21">
        <f t="shared" si="3"/>
        <v>85</v>
      </c>
      <c r="C89" s="24" t="s">
        <v>1004</v>
      </c>
      <c r="D89" s="23" t="str">
        <f t="shared" si="4"/>
        <v>55</v>
      </c>
      <c r="E89" s="31" t="str">
        <f>_xlfn.IFNA(VLOOKUP($C89&amp;","&amp;E3,汇编指令!$C$2:$D$235,2,FALSE),"")</f>
        <v>F0</v>
      </c>
      <c r="F89" s="32" t="str">
        <f>_xlfn.IFNA(VLOOKUP($C89&amp;","&amp;F3,汇编指令!$C$2:$D$235,2,FALSE),"")</f>
        <v/>
      </c>
      <c r="G89" s="32" t="str">
        <f>_xlfn.IFNA(VLOOKUP($C89&amp;","&amp;G3,汇编指令!$C$2:$D$235,2,FALSE),"")</f>
        <v/>
      </c>
      <c r="H89" s="32" t="str">
        <f>_xlfn.IFNA(VLOOKUP($C89&amp;","&amp;H3,汇编指令!$C$2:$D$235,2,FALSE),"")</f>
        <v/>
      </c>
      <c r="I89" s="32" t="str">
        <f>_xlfn.IFNA(VLOOKUP($C89&amp;","&amp;I3,汇编指令!$C$2:$D$235,2,FALSE),"")</f>
        <v/>
      </c>
      <c r="J89" s="32" t="str">
        <f>_xlfn.IFNA(VLOOKUP($C89&amp;","&amp;J3,汇编指令!$C$2:$D$235,2,FALSE),"")</f>
        <v/>
      </c>
      <c r="K89" s="32" t="str">
        <f>_xlfn.IFNA(VLOOKUP($C89&amp;","&amp;K3,汇编指令!$C$2:$D$235,2,FALSE),"")</f>
        <v/>
      </c>
      <c r="L89" s="32" t="str">
        <f>_xlfn.IFNA(VLOOKUP($C89&amp;","&amp;L3,汇编指令!$C$2:$D$235,2,FALSE),"")</f>
        <v/>
      </c>
      <c r="M89" s="32" t="str">
        <f>_xlfn.IFNA(VLOOKUP($C89&amp;","&amp;M3,汇编指令!$C$2:$D$235,2,FALSE),"")</f>
        <v/>
      </c>
      <c r="N89" s="32" t="str">
        <f>_xlfn.IFNA(VLOOKUP($C89&amp;","&amp;N3,汇编指令!$C$2:$D$235,2,FALSE),"")</f>
        <v/>
      </c>
      <c r="O89" s="32" t="str">
        <f>_xlfn.IFNA(VLOOKUP($C89&amp;","&amp;O3,汇编指令!$C$2:$D$235,2,FALSE),"")</f>
        <v/>
      </c>
      <c r="P89" s="32" t="str">
        <f>_xlfn.IFNA(VLOOKUP($C89&amp;","&amp;P3,汇编指令!$C$2:$D$235,2,FALSE),"")</f>
        <v/>
      </c>
      <c r="Q89" s="32" t="str">
        <f>_xlfn.IFNA(VLOOKUP($C89&amp;","&amp;Q3,汇编指令!$C$2:$D$235,2,FALSE),"")</f>
        <v/>
      </c>
      <c r="R89" s="32" t="str">
        <f>_xlfn.IFNA(VLOOKUP($C89&amp;","&amp;R3,汇编指令!$C$2:$D$235,2,FALSE),"")</f>
        <v/>
      </c>
      <c r="S89" s="32" t="str">
        <f>_xlfn.IFNA(VLOOKUP($C89&amp;","&amp;S3,汇编指令!$C$2:$D$235,2,FALSE),"")</f>
        <v/>
      </c>
      <c r="T89" s="32" t="str">
        <f>_xlfn.IFNA(VLOOKUP($C89&amp;","&amp;T3,汇编指令!$C$2:$D$235,2,FALSE),"")</f>
        <v/>
      </c>
      <c r="U89" s="32" t="str">
        <f>_xlfn.IFNA(VLOOKUP($C89&amp;","&amp;U3,汇编指令!$C$2:$D$235,2,FALSE),"")</f>
        <v/>
      </c>
      <c r="V89" s="32" t="str">
        <f>_xlfn.IFNA(VLOOKUP($C89&amp;","&amp;V3,汇编指令!$C$2:$D$235,2,FALSE),"")</f>
        <v/>
      </c>
      <c r="W89" s="32" t="str">
        <f>_xlfn.IFNA(VLOOKUP($C89&amp;","&amp;W3,汇编指令!$C$2:$D$235,2,FALSE),"")</f>
        <v/>
      </c>
      <c r="X89" s="32" t="str">
        <f>_xlfn.IFNA(VLOOKUP($C89&amp;","&amp;X3,汇编指令!$C$2:$D$235,2,FALSE),"")</f>
        <v/>
      </c>
      <c r="Y89" s="32" t="str">
        <f>_xlfn.IFNA(VLOOKUP($C89&amp;","&amp;Y3,汇编指令!$C$2:$D$235,2,FALSE),"")</f>
        <v/>
      </c>
      <c r="Z89" s="32" t="str">
        <f>_xlfn.IFNA(VLOOKUP($C89&amp;","&amp;Z3,汇编指令!$C$2:$D$235,2,FALSE),"")</f>
        <v/>
      </c>
      <c r="AA89" s="32" t="str">
        <f>_xlfn.IFNA(VLOOKUP($C89&amp;","&amp;AA3,汇编指令!$C$2:$D$235,2,FALSE),"")</f>
        <v/>
      </c>
      <c r="AB89" s="32" t="str">
        <f>_xlfn.IFNA(VLOOKUP($C89&amp;","&amp;AB3,汇编指令!$C$2:$D$235,2,FALSE),"")</f>
        <v/>
      </c>
    </row>
    <row r="90" ht="20" customHeight="1" spans="1:28">
      <c r="A90" s="16">
        <v>2</v>
      </c>
      <c r="B90" s="21">
        <f t="shared" si="3"/>
        <v>86</v>
      </c>
      <c r="C90" s="24" t="s">
        <v>1005</v>
      </c>
      <c r="D90" s="23" t="str">
        <f t="shared" si="4"/>
        <v>56</v>
      </c>
      <c r="E90" s="31" t="str">
        <f>_xlfn.IFNA(VLOOKUP($C90&amp;","&amp;E3,汇编指令!$C$2:$D$235,2,FALSE),"")</f>
        <v>F2</v>
      </c>
      <c r="F90" s="32" t="str">
        <f>_xlfn.IFNA(VLOOKUP($C90&amp;","&amp;F3,汇编指令!$C$2:$D$235,2,FALSE),"")</f>
        <v/>
      </c>
      <c r="G90" s="32" t="str">
        <f>_xlfn.IFNA(VLOOKUP($C90&amp;","&amp;G3,汇编指令!$C$2:$D$235,2,FALSE),"")</f>
        <v/>
      </c>
      <c r="H90" s="32" t="str">
        <f>_xlfn.IFNA(VLOOKUP($C90&amp;","&amp;H3,汇编指令!$C$2:$D$235,2,FALSE),"")</f>
        <v/>
      </c>
      <c r="I90" s="32" t="str">
        <f>_xlfn.IFNA(VLOOKUP($C90&amp;","&amp;I3,汇编指令!$C$2:$D$235,2,FALSE),"")</f>
        <v/>
      </c>
      <c r="J90" s="32" t="str">
        <f>_xlfn.IFNA(VLOOKUP($C90&amp;","&amp;J3,汇编指令!$C$2:$D$235,2,FALSE),"")</f>
        <v/>
      </c>
      <c r="K90" s="32" t="str">
        <f>_xlfn.IFNA(VLOOKUP($C90&amp;","&amp;K3,汇编指令!$C$2:$D$235,2,FALSE),"")</f>
        <v/>
      </c>
      <c r="L90" s="32" t="str">
        <f>_xlfn.IFNA(VLOOKUP($C90&amp;","&amp;L3,汇编指令!$C$2:$D$235,2,FALSE),"")</f>
        <v/>
      </c>
      <c r="M90" s="32" t="str">
        <f>_xlfn.IFNA(VLOOKUP($C90&amp;","&amp;M3,汇编指令!$C$2:$D$235,2,FALSE),"")</f>
        <v/>
      </c>
      <c r="N90" s="32" t="str">
        <f>_xlfn.IFNA(VLOOKUP($C90&amp;","&amp;N3,汇编指令!$C$2:$D$235,2,FALSE),"")</f>
        <v/>
      </c>
      <c r="O90" s="32" t="str">
        <f>_xlfn.IFNA(VLOOKUP($C90&amp;","&amp;O3,汇编指令!$C$2:$D$235,2,FALSE),"")</f>
        <v/>
      </c>
      <c r="P90" s="32" t="str">
        <f>_xlfn.IFNA(VLOOKUP($C90&amp;","&amp;P3,汇编指令!$C$2:$D$235,2,FALSE),"")</f>
        <v/>
      </c>
      <c r="Q90" s="32" t="str">
        <f>_xlfn.IFNA(VLOOKUP($C90&amp;","&amp;Q3,汇编指令!$C$2:$D$235,2,FALSE),"")</f>
        <v/>
      </c>
      <c r="R90" s="32" t="str">
        <f>_xlfn.IFNA(VLOOKUP($C90&amp;","&amp;R3,汇编指令!$C$2:$D$235,2,FALSE),"")</f>
        <v/>
      </c>
      <c r="S90" s="32" t="str">
        <f>_xlfn.IFNA(VLOOKUP($C90&amp;","&amp;S3,汇编指令!$C$2:$D$235,2,FALSE),"")</f>
        <v/>
      </c>
      <c r="T90" s="32" t="str">
        <f>_xlfn.IFNA(VLOOKUP($C90&amp;","&amp;T3,汇编指令!$C$2:$D$235,2,FALSE),"")</f>
        <v/>
      </c>
      <c r="U90" s="32" t="str">
        <f>_xlfn.IFNA(VLOOKUP($C90&amp;","&amp;U3,汇编指令!$C$2:$D$235,2,FALSE),"")</f>
        <v/>
      </c>
      <c r="V90" s="32" t="str">
        <f>_xlfn.IFNA(VLOOKUP($C90&amp;","&amp;V3,汇编指令!$C$2:$D$235,2,FALSE),"")</f>
        <v/>
      </c>
      <c r="W90" s="32" t="str">
        <f>_xlfn.IFNA(VLOOKUP($C90&amp;","&amp;W3,汇编指令!$C$2:$D$235,2,FALSE),"")</f>
        <v/>
      </c>
      <c r="X90" s="32" t="str">
        <f>_xlfn.IFNA(VLOOKUP($C90&amp;","&amp;X3,汇编指令!$C$2:$D$235,2,FALSE),"")</f>
        <v/>
      </c>
      <c r="Y90" s="32" t="str">
        <f>_xlfn.IFNA(VLOOKUP($C90&amp;","&amp;Y3,汇编指令!$C$2:$D$235,2,FALSE),"")</f>
        <v/>
      </c>
      <c r="Z90" s="32" t="str">
        <f>_xlfn.IFNA(VLOOKUP($C90&amp;","&amp;Z3,汇编指令!$C$2:$D$235,2,FALSE),"")</f>
        <v/>
      </c>
      <c r="AA90" s="32" t="str">
        <f>_xlfn.IFNA(VLOOKUP($C90&amp;","&amp;AA3,汇编指令!$C$2:$D$235,2,FALSE),"")</f>
        <v/>
      </c>
      <c r="AB90" s="32" t="str">
        <f>_xlfn.IFNA(VLOOKUP($C90&amp;","&amp;AB3,汇编指令!$C$2:$D$235,2,FALSE),"")</f>
        <v/>
      </c>
    </row>
    <row r="91" ht="20" customHeight="1" spans="1:28">
      <c r="A91" s="16">
        <v>2</v>
      </c>
      <c r="B91" s="21">
        <f t="shared" si="3"/>
        <v>87</v>
      </c>
      <c r="C91" s="24" t="s">
        <v>1006</v>
      </c>
      <c r="D91" s="23" t="str">
        <f t="shared" si="4"/>
        <v>57</v>
      </c>
      <c r="E91" s="31" t="str">
        <f>_xlfn.IFNA(VLOOKUP($C91&amp;","&amp;E3,汇编指令!$C$2:$D$235,2,FALSE),"")</f>
        <v>F3</v>
      </c>
      <c r="F91" s="32" t="str">
        <f>_xlfn.IFNA(VLOOKUP($C91&amp;","&amp;F3,汇编指令!$C$2:$D$235,2,FALSE),"")</f>
        <v/>
      </c>
      <c r="G91" s="32" t="str">
        <f>_xlfn.IFNA(VLOOKUP($C91&amp;","&amp;G3,汇编指令!$C$2:$D$235,2,FALSE),"")</f>
        <v/>
      </c>
      <c r="H91" s="32" t="str">
        <f>_xlfn.IFNA(VLOOKUP($C91&amp;","&amp;H3,汇编指令!$C$2:$D$235,2,FALSE),"")</f>
        <v/>
      </c>
      <c r="I91" s="32" t="str">
        <f>_xlfn.IFNA(VLOOKUP($C91&amp;","&amp;I3,汇编指令!$C$2:$D$235,2,FALSE),"")</f>
        <v/>
      </c>
      <c r="J91" s="32" t="str">
        <f>_xlfn.IFNA(VLOOKUP($C91&amp;","&amp;J3,汇编指令!$C$2:$D$235,2,FALSE),"")</f>
        <v/>
      </c>
      <c r="K91" s="32" t="str">
        <f>_xlfn.IFNA(VLOOKUP($C91&amp;","&amp;K3,汇编指令!$C$2:$D$235,2,FALSE),"")</f>
        <v/>
      </c>
      <c r="L91" s="32" t="str">
        <f>_xlfn.IFNA(VLOOKUP($C91&amp;","&amp;L3,汇编指令!$C$2:$D$235,2,FALSE),"")</f>
        <v/>
      </c>
      <c r="M91" s="32" t="str">
        <f>_xlfn.IFNA(VLOOKUP($C91&amp;","&amp;M3,汇编指令!$C$2:$D$235,2,FALSE),"")</f>
        <v/>
      </c>
      <c r="N91" s="32" t="str">
        <f>_xlfn.IFNA(VLOOKUP($C91&amp;","&amp;N3,汇编指令!$C$2:$D$235,2,FALSE),"")</f>
        <v/>
      </c>
      <c r="O91" s="32" t="str">
        <f>_xlfn.IFNA(VLOOKUP($C91&amp;","&amp;O3,汇编指令!$C$2:$D$235,2,FALSE),"")</f>
        <v/>
      </c>
      <c r="P91" s="32" t="str">
        <f>_xlfn.IFNA(VLOOKUP($C91&amp;","&amp;P3,汇编指令!$C$2:$D$235,2,FALSE),"")</f>
        <v/>
      </c>
      <c r="Q91" s="32" t="str">
        <f>_xlfn.IFNA(VLOOKUP($C91&amp;","&amp;Q3,汇编指令!$C$2:$D$235,2,FALSE),"")</f>
        <v/>
      </c>
      <c r="R91" s="32" t="str">
        <f>_xlfn.IFNA(VLOOKUP($C91&amp;","&amp;R3,汇编指令!$C$2:$D$235,2,FALSE),"")</f>
        <v/>
      </c>
      <c r="S91" s="32" t="str">
        <f>_xlfn.IFNA(VLOOKUP($C91&amp;","&amp;S3,汇编指令!$C$2:$D$235,2,FALSE),"")</f>
        <v/>
      </c>
      <c r="T91" s="32" t="str">
        <f>_xlfn.IFNA(VLOOKUP($C91&amp;","&amp;T3,汇编指令!$C$2:$D$235,2,FALSE),"")</f>
        <v/>
      </c>
      <c r="U91" s="32" t="str">
        <f>_xlfn.IFNA(VLOOKUP($C91&amp;","&amp;U3,汇编指令!$C$2:$D$235,2,FALSE),"")</f>
        <v/>
      </c>
      <c r="V91" s="32" t="str">
        <f>_xlfn.IFNA(VLOOKUP($C91&amp;","&amp;V3,汇编指令!$C$2:$D$235,2,FALSE),"")</f>
        <v/>
      </c>
      <c r="W91" s="32" t="str">
        <f>_xlfn.IFNA(VLOOKUP($C91&amp;","&amp;W3,汇编指令!$C$2:$D$235,2,FALSE),"")</f>
        <v/>
      </c>
      <c r="X91" s="32" t="str">
        <f>_xlfn.IFNA(VLOOKUP($C91&amp;","&amp;X3,汇编指令!$C$2:$D$235,2,FALSE),"")</f>
        <v/>
      </c>
      <c r="Y91" s="32" t="str">
        <f>_xlfn.IFNA(VLOOKUP($C91&amp;","&amp;Y3,汇编指令!$C$2:$D$235,2,FALSE),"")</f>
        <v/>
      </c>
      <c r="Z91" s="32" t="str">
        <f>_xlfn.IFNA(VLOOKUP($C91&amp;","&amp;Z3,汇编指令!$C$2:$D$235,2,FALSE),"")</f>
        <v/>
      </c>
      <c r="AA91" s="32" t="str">
        <f>_xlfn.IFNA(VLOOKUP($C91&amp;","&amp;AA3,汇编指令!$C$2:$D$235,2,FALSE),"")</f>
        <v/>
      </c>
      <c r="AB91" s="32" t="str">
        <f>_xlfn.IFNA(VLOOKUP($C91&amp;","&amp;AB3,汇编指令!$C$2:$D$235,2,FALSE),"")</f>
        <v/>
      </c>
    </row>
    <row r="92" ht="20" customHeight="1" spans="1:28">
      <c r="A92" s="16">
        <v>2</v>
      </c>
      <c r="B92" s="21">
        <f t="shared" si="3"/>
        <v>88</v>
      </c>
      <c r="C92" s="24" t="s">
        <v>1007</v>
      </c>
      <c r="D92" s="23" t="str">
        <f t="shared" si="4"/>
        <v>58</v>
      </c>
      <c r="E92" s="34" t="str">
        <f>_xlfn.IFNA(VLOOKUP($C92&amp;","&amp;E3,汇编指令!$C$2:$D$235,2,FALSE),"")</f>
        <v/>
      </c>
      <c r="F92" s="32" t="str">
        <f>_xlfn.IFNA(VLOOKUP($C92&amp;","&amp;F3,汇编指令!$C$2:$D$235,2,FALSE),"")</f>
        <v/>
      </c>
      <c r="G92" s="32" t="str">
        <f>_xlfn.IFNA(VLOOKUP($C92&amp;","&amp;G3,汇编指令!$C$2:$D$235,2,FALSE),"")</f>
        <v/>
      </c>
      <c r="H92" s="32" t="str">
        <f>_xlfn.IFNA(VLOOKUP($C92&amp;","&amp;H3,汇编指令!$C$2:$D$235,2,FALSE),"")</f>
        <v/>
      </c>
      <c r="I92" s="32" t="str">
        <f>_xlfn.IFNA(VLOOKUP($C92&amp;","&amp;I3,汇编指令!$C$2:$D$235,2,FALSE),"")</f>
        <v/>
      </c>
      <c r="J92" s="32" t="str">
        <f>_xlfn.IFNA(VLOOKUP($C92&amp;","&amp;J3,汇编指令!$C$2:$D$235,2,FALSE),"")</f>
        <v/>
      </c>
      <c r="K92" s="32" t="str">
        <f>_xlfn.IFNA(VLOOKUP($C92&amp;","&amp;K3,汇编指令!$C$2:$D$235,2,FALSE),"")</f>
        <v/>
      </c>
      <c r="L92" s="32" t="str">
        <f>_xlfn.IFNA(VLOOKUP($C92&amp;","&amp;L3,汇编指令!$C$2:$D$235,2,FALSE),"")</f>
        <v/>
      </c>
      <c r="M92" s="32" t="str">
        <f>_xlfn.IFNA(VLOOKUP($C92&amp;","&amp;M3,汇编指令!$C$2:$D$235,2,FALSE),"")</f>
        <v/>
      </c>
      <c r="N92" s="32" t="str">
        <f>_xlfn.IFNA(VLOOKUP($C92&amp;","&amp;N3,汇编指令!$C$2:$D$235,2,FALSE),"")</f>
        <v/>
      </c>
      <c r="O92" s="32" t="str">
        <f>_xlfn.IFNA(VLOOKUP($C92&amp;","&amp;O3,汇编指令!$C$2:$D$235,2,FALSE),"")</f>
        <v/>
      </c>
      <c r="P92" s="33" t="str">
        <f>_xlfn.IFNA(VLOOKUP($C92&amp;","&amp;P3,汇编指令!$C$2:$D$235,2,FALSE),"")</f>
        <v>E2</v>
      </c>
      <c r="Q92" s="33" t="str">
        <f>_xlfn.IFNA(VLOOKUP($C92&amp;","&amp;Q3,汇编指令!$C$2:$D$235,2,FALSE),"")</f>
        <v>E3</v>
      </c>
      <c r="R92" s="32" t="str">
        <f>_xlfn.IFNA(VLOOKUP($C92&amp;","&amp;R3,汇编指令!$C$2:$D$235,2,FALSE),"")</f>
        <v/>
      </c>
      <c r="S92" s="32" t="str">
        <f>_xlfn.IFNA(VLOOKUP($C92&amp;","&amp;S3,汇编指令!$C$2:$D$235,2,FALSE),"")</f>
        <v/>
      </c>
      <c r="T92" s="32" t="str">
        <f>_xlfn.IFNA(VLOOKUP($C92&amp;","&amp;T3,汇编指令!$C$2:$D$235,2,FALSE),"")</f>
        <v/>
      </c>
      <c r="U92" s="32" t="str">
        <f>_xlfn.IFNA(VLOOKUP($C92&amp;","&amp;U3,汇编指令!$C$2:$D$235,2,FALSE),"")</f>
        <v/>
      </c>
      <c r="V92" s="33" t="str">
        <f>_xlfn.IFNA(VLOOKUP($C92&amp;","&amp;V3,汇编指令!$C$2:$D$235,2,FALSE),"")</f>
        <v>E0</v>
      </c>
      <c r="W92" s="32" t="str">
        <f>_xlfn.IFNA(VLOOKUP($C92&amp;","&amp;W3,汇编指令!$C$2:$D$235,2,FALSE),"")</f>
        <v/>
      </c>
      <c r="X92" s="32" t="str">
        <f>_xlfn.IFNA(VLOOKUP($C92&amp;","&amp;X3,汇编指令!$C$2:$D$235,2,FALSE),"")</f>
        <v/>
      </c>
      <c r="Y92" s="32" t="str">
        <f>_xlfn.IFNA(VLOOKUP($C92&amp;","&amp;Y3,汇编指令!$C$2:$D$235,2,FALSE),"")</f>
        <v/>
      </c>
      <c r="Z92" s="32" t="str">
        <f>_xlfn.IFNA(VLOOKUP($C92&amp;","&amp;Z3,汇编指令!$C$2:$D$235,2,FALSE),"")</f>
        <v/>
      </c>
      <c r="AA92" s="32" t="str">
        <f>_xlfn.IFNA(VLOOKUP($C92&amp;","&amp;AA3,汇编指令!$C$2:$D$235,2,FALSE),"")</f>
        <v/>
      </c>
      <c r="AB92" s="32" t="str">
        <f>_xlfn.IFNA(VLOOKUP($C92&amp;","&amp;AB3,汇编指令!$C$2:$D$235,2,FALSE),"")</f>
        <v/>
      </c>
    </row>
    <row r="93" ht="20" customHeight="1" spans="1:28">
      <c r="A93" s="16">
        <v>2</v>
      </c>
      <c r="B93" s="21">
        <f t="shared" si="3"/>
        <v>89</v>
      </c>
      <c r="C93" s="24" t="s">
        <v>1008</v>
      </c>
      <c r="D93" s="23" t="str">
        <f t="shared" si="4"/>
        <v>59</v>
      </c>
      <c r="E93" s="34" t="str">
        <f>_xlfn.IFNA(VLOOKUP($C93&amp;","&amp;E3,汇编指令!$C$2:$D$235,2,FALSE),"")</f>
        <v/>
      </c>
      <c r="F93" s="33" t="str">
        <f>_xlfn.IFNA(VLOOKUP($C93&amp;","&amp;F3,汇编指令!$C$2:$D$235,2,FALSE),"")</f>
        <v>48</v>
      </c>
      <c r="G93" s="33" t="str">
        <f>_xlfn.IFNA(VLOOKUP($C93&amp;","&amp;G3,汇编指令!$C$2:$D$235,2,FALSE),"")</f>
        <v>49</v>
      </c>
      <c r="H93" s="33" t="str">
        <f>_xlfn.IFNA(VLOOKUP($C93&amp;","&amp;H3,汇编指令!$C$2:$D$235,2,FALSE),"")</f>
        <v>4A</v>
      </c>
      <c r="I93" s="33" t="str">
        <f>_xlfn.IFNA(VLOOKUP($C93&amp;","&amp;I3,汇编指令!$C$2:$D$235,2,FALSE),"")</f>
        <v>4B</v>
      </c>
      <c r="J93" s="33" t="str">
        <f>_xlfn.IFNA(VLOOKUP($C93&amp;","&amp;J3,汇编指令!$C$2:$D$235,2,FALSE),"")</f>
        <v>4C</v>
      </c>
      <c r="K93" s="33" t="str">
        <f>_xlfn.IFNA(VLOOKUP($C93&amp;","&amp;K3,汇编指令!$C$2:$D$235,2,FALSE),"")</f>
        <v>4D</v>
      </c>
      <c r="L93" s="33" t="str">
        <f>_xlfn.IFNA(VLOOKUP($C93&amp;","&amp;L3,汇编指令!$C$2:$D$235,2,FALSE),"")</f>
        <v>4E</v>
      </c>
      <c r="M93" s="33" t="str">
        <f>_xlfn.IFNA(VLOOKUP($C93&amp;","&amp;M3,汇编指令!$C$2:$D$235,2,FALSE),"")</f>
        <v>4F</v>
      </c>
      <c r="N93" s="33" t="str">
        <f>_xlfn.IFNA(VLOOKUP($C93&amp;","&amp;N3,汇编指令!$C$2:$D$235,2,FALSE),"")</f>
        <v>44</v>
      </c>
      <c r="O93" s="33" t="str">
        <f>_xlfn.IFNA(VLOOKUP($C93&amp;","&amp;O3,汇编指令!$C$2:$D$235,2,FALSE),"")</f>
        <v>45</v>
      </c>
      <c r="P93" s="33" t="str">
        <f>_xlfn.IFNA(VLOOKUP($C93&amp;","&amp;P3,汇编指令!$C$2:$D$235,2,FALSE),"")</f>
        <v>46</v>
      </c>
      <c r="Q93" s="33" t="str">
        <f>_xlfn.IFNA(VLOOKUP($C93&amp;","&amp;Q3,汇编指令!$C$2:$D$235,2,FALSE),"")</f>
        <v>47</v>
      </c>
      <c r="R93" s="32" t="str">
        <f>_xlfn.IFNA(VLOOKUP($C93&amp;","&amp;R3,汇编指令!$C$2:$D$235,2,FALSE),"")</f>
        <v/>
      </c>
      <c r="S93" s="32" t="str">
        <f>_xlfn.IFNA(VLOOKUP($C93&amp;","&amp;S3,汇编指令!$C$2:$D$235,2,FALSE),"")</f>
        <v/>
      </c>
      <c r="T93" s="32" t="str">
        <f>_xlfn.IFNA(VLOOKUP($C93&amp;","&amp;T3,汇编指令!$C$2:$D$235,2,FALSE),"")</f>
        <v/>
      </c>
      <c r="U93" s="32" t="str">
        <f>_xlfn.IFNA(VLOOKUP($C93&amp;","&amp;U3,汇编指令!$C$2:$D$235,2,FALSE),"")</f>
        <v/>
      </c>
      <c r="V93" s="32" t="str">
        <f>_xlfn.IFNA(VLOOKUP($C93&amp;","&amp;V3,汇编指令!$C$2:$D$235,2,FALSE),"")</f>
        <v/>
      </c>
      <c r="W93" s="32" t="str">
        <f>_xlfn.IFNA(VLOOKUP($C93&amp;","&amp;W3,汇编指令!$C$2:$D$235,2,FALSE),"")</f>
        <v/>
      </c>
      <c r="X93" s="32" t="str">
        <f>_xlfn.IFNA(VLOOKUP($C93&amp;","&amp;X3,汇编指令!$C$2:$D$235,2,FALSE),"")</f>
        <v/>
      </c>
      <c r="Y93" s="32" t="str">
        <f>_xlfn.IFNA(VLOOKUP($C93&amp;","&amp;Y3,汇编指令!$C$2:$D$235,2,FALSE),"")</f>
        <v/>
      </c>
      <c r="Z93" s="32" t="str">
        <f>_xlfn.IFNA(VLOOKUP($C93&amp;","&amp;Z3,汇编指令!$C$2:$D$235,2,FALSE),"")</f>
        <v/>
      </c>
      <c r="AA93" s="32" t="str">
        <f>_xlfn.IFNA(VLOOKUP($C93&amp;","&amp;AA3,汇编指令!$C$2:$D$235,2,FALSE),"")</f>
        <v/>
      </c>
      <c r="AB93" s="32" t="str">
        <f>_xlfn.IFNA(VLOOKUP($C93&amp;","&amp;AB3,汇编指令!$C$2:$D$235,2,FALSE),"")</f>
        <v/>
      </c>
    </row>
    <row r="94" ht="20" customHeight="1" spans="1:28">
      <c r="A94" s="16">
        <v>2</v>
      </c>
      <c r="B94" s="21">
        <f t="shared" si="3"/>
        <v>90</v>
      </c>
      <c r="C94" s="24" t="s">
        <v>1009</v>
      </c>
      <c r="D94" s="23" t="str">
        <f t="shared" si="4"/>
        <v>5A</v>
      </c>
      <c r="E94" s="34" t="str">
        <f>_xlfn.IFNA(VLOOKUP($C94&amp;","&amp;E3,汇编指令!$C$2:$D$235,2,FALSE),"")</f>
        <v/>
      </c>
      <c r="F94" s="32" t="str">
        <f>_xlfn.IFNA(VLOOKUP($C94&amp;","&amp;F3,汇编指令!$C$2:$D$235,2,FALSE),"")</f>
        <v/>
      </c>
      <c r="G94" s="32" t="str">
        <f>_xlfn.IFNA(VLOOKUP($C94&amp;","&amp;G3,汇编指令!$C$2:$D$235,2,FALSE),"")</f>
        <v/>
      </c>
      <c r="H94" s="32" t="str">
        <f>_xlfn.IFNA(VLOOKUP($C94&amp;","&amp;H3,汇编指令!$C$2:$D$235,2,FALSE),"")</f>
        <v/>
      </c>
      <c r="I94" s="32" t="str">
        <f>_xlfn.IFNA(VLOOKUP($C94&amp;","&amp;I3,汇编指令!$C$2:$D$235,2,FALSE),"")</f>
        <v/>
      </c>
      <c r="J94" s="32" t="str">
        <f>_xlfn.IFNA(VLOOKUP($C94&amp;","&amp;J3,汇编指令!$C$2:$D$235,2,FALSE),"")</f>
        <v/>
      </c>
      <c r="K94" s="32" t="str">
        <f>_xlfn.IFNA(VLOOKUP($C94&amp;","&amp;K3,汇编指令!$C$2:$D$235,2,FALSE),"")</f>
        <v/>
      </c>
      <c r="L94" s="32" t="str">
        <f>_xlfn.IFNA(VLOOKUP($C94&amp;","&amp;L3,汇编指令!$C$2:$D$235,2,FALSE),"")</f>
        <v/>
      </c>
      <c r="M94" s="32" t="str">
        <f>_xlfn.IFNA(VLOOKUP($C94&amp;","&amp;M3,汇编指令!$C$2:$D$235,2,FALSE),"")</f>
        <v/>
      </c>
      <c r="N94" s="32" t="str">
        <f>_xlfn.IFNA(VLOOKUP($C94&amp;","&amp;N3,汇编指令!$C$2:$D$235,2,FALSE),"")</f>
        <v/>
      </c>
      <c r="O94" s="32" t="str">
        <f>_xlfn.IFNA(VLOOKUP($C94&amp;","&amp;O3,汇编指令!$C$2:$D$235,2,FALSE),"")</f>
        <v/>
      </c>
      <c r="P94" s="32" t="str">
        <f>_xlfn.IFNA(VLOOKUP($C94&amp;","&amp;P3,汇编指令!$C$2:$D$235,2,FALSE),"")</f>
        <v/>
      </c>
      <c r="Q94" s="32" t="str">
        <f>_xlfn.IFNA(VLOOKUP($C94&amp;","&amp;Q3,汇编指令!$C$2:$D$235,2,FALSE),"")</f>
        <v/>
      </c>
      <c r="R94" s="32" t="str">
        <f>_xlfn.IFNA(VLOOKUP($C94&amp;","&amp;R3,汇编指令!$C$2:$D$235,2,FALSE),"")</f>
        <v/>
      </c>
      <c r="S94" s="32" t="str">
        <f>_xlfn.IFNA(VLOOKUP($C94&amp;","&amp;S3,汇编指令!$C$2:$D$235,2,FALSE),"")</f>
        <v/>
      </c>
      <c r="T94" s="32" t="str">
        <f>_xlfn.IFNA(VLOOKUP($C94&amp;","&amp;T3,汇编指令!$C$2:$D$235,2,FALSE),"")</f>
        <v/>
      </c>
      <c r="U94" s="32" t="str">
        <f>_xlfn.IFNA(VLOOKUP($C94&amp;","&amp;U3,汇编指令!$C$2:$D$235,2,FALSE),"")</f>
        <v/>
      </c>
      <c r="V94" s="32" t="str">
        <f>_xlfn.IFNA(VLOOKUP($C94&amp;","&amp;V3,汇编指令!$C$2:$D$235,2,FALSE),"")</f>
        <v/>
      </c>
      <c r="W94" s="32" t="str">
        <f>_xlfn.IFNA(VLOOKUP($C94&amp;","&amp;W3,汇编指令!$C$2:$D$235,2,FALSE),"")</f>
        <v/>
      </c>
      <c r="X94" s="32" t="str">
        <f>_xlfn.IFNA(VLOOKUP($C94&amp;","&amp;X3,汇编指令!$C$2:$D$235,2,FALSE),"")</f>
        <v/>
      </c>
      <c r="Y94" s="33" t="str">
        <f>_xlfn.IFNA(VLOOKUP($C94&amp;","&amp;Y3,汇编指令!$C$2:$D$235,2,FALSE),"")</f>
        <v>72</v>
      </c>
      <c r="Z94" s="32" t="str">
        <f>_xlfn.IFNA(VLOOKUP($C94&amp;","&amp;Z3,汇编指令!$C$2:$D$235,2,FALSE),"")</f>
        <v/>
      </c>
      <c r="AA94" s="32" t="str">
        <f>_xlfn.IFNA(VLOOKUP($C94&amp;","&amp;AA3,汇编指令!$C$2:$D$235,2,FALSE),"")</f>
        <v/>
      </c>
      <c r="AB94" s="33" t="str">
        <f>_xlfn.IFNA(VLOOKUP($C94&amp;","&amp;AB3,汇编指令!$C$2:$D$235,2,FALSE),"")</f>
        <v>A0</v>
      </c>
    </row>
    <row r="95" ht="20" customHeight="1" spans="1:28">
      <c r="A95" s="16">
        <v>2</v>
      </c>
      <c r="B95" s="21">
        <f t="shared" si="3"/>
        <v>91</v>
      </c>
      <c r="C95" s="24" t="s">
        <v>1010</v>
      </c>
      <c r="D95" s="23" t="str">
        <f t="shared" si="4"/>
        <v>5B</v>
      </c>
      <c r="E95" s="34" t="str">
        <f>_xlfn.IFNA(VLOOKUP($C95&amp;","&amp;E3,汇编指令!$C$2:$D$235,2,FALSE),"")</f>
        <v/>
      </c>
      <c r="F95" s="32" t="str">
        <f>_xlfn.IFNA(VLOOKUP($C95&amp;","&amp;F3,汇编指令!$C$2:$D$235,2,FALSE),"")</f>
        <v/>
      </c>
      <c r="G95" s="32" t="str">
        <f>_xlfn.IFNA(VLOOKUP($C95&amp;","&amp;G3,汇编指令!$C$2:$D$235,2,FALSE),"")</f>
        <v/>
      </c>
      <c r="H95" s="32" t="str">
        <f>_xlfn.IFNA(VLOOKUP($C95&amp;","&amp;H3,汇编指令!$C$2:$D$235,2,FALSE),"")</f>
        <v/>
      </c>
      <c r="I95" s="32" t="str">
        <f>_xlfn.IFNA(VLOOKUP($C95&amp;","&amp;I3,汇编指令!$C$2:$D$235,2,FALSE),"")</f>
        <v/>
      </c>
      <c r="J95" s="32" t="str">
        <f>_xlfn.IFNA(VLOOKUP($C95&amp;","&amp;J3,汇编指令!$C$2:$D$235,2,FALSE),"")</f>
        <v/>
      </c>
      <c r="K95" s="32" t="str">
        <f>_xlfn.IFNA(VLOOKUP($C95&amp;","&amp;K3,汇编指令!$C$2:$D$235,2,FALSE),"")</f>
        <v/>
      </c>
      <c r="L95" s="32" t="str">
        <f>_xlfn.IFNA(VLOOKUP($C95&amp;","&amp;L3,汇编指令!$C$2:$D$235,2,FALSE),"")</f>
        <v/>
      </c>
      <c r="M95" s="32" t="str">
        <f>_xlfn.IFNA(VLOOKUP($C95&amp;","&amp;M3,汇编指令!$C$2:$D$235,2,FALSE),"")</f>
        <v/>
      </c>
      <c r="N95" s="33" t="str">
        <f>_xlfn.IFNA(VLOOKUP($C95&amp;","&amp;N3,汇编指令!$C$2:$D$235,2,FALSE),"")</f>
        <v>42</v>
      </c>
      <c r="O95" s="32" t="str">
        <f>_xlfn.IFNA(VLOOKUP($C95&amp;","&amp;O3,汇编指令!$C$2:$D$235,2,FALSE),"")</f>
        <v/>
      </c>
      <c r="P95" s="32" t="str">
        <f>_xlfn.IFNA(VLOOKUP($C95&amp;","&amp;P3,汇编指令!$C$2:$D$235,2,FALSE),"")</f>
        <v/>
      </c>
      <c r="Q95" s="32" t="str">
        <f>_xlfn.IFNA(VLOOKUP($C95&amp;","&amp;Q3,汇编指令!$C$2:$D$235,2,FALSE),"")</f>
        <v/>
      </c>
      <c r="R95" s="32" t="str">
        <f>_xlfn.IFNA(VLOOKUP($C95&amp;","&amp;R3,汇编指令!$C$2:$D$235,2,FALSE),"")</f>
        <v/>
      </c>
      <c r="S95" s="32" t="str">
        <f>_xlfn.IFNA(VLOOKUP($C95&amp;","&amp;S3,汇编指令!$C$2:$D$235,2,FALSE),"")</f>
        <v/>
      </c>
      <c r="T95" s="32" t="str">
        <f>_xlfn.IFNA(VLOOKUP($C95&amp;","&amp;T3,汇编指令!$C$2:$D$235,2,FALSE),"")</f>
        <v/>
      </c>
      <c r="U95" s="32" t="str">
        <f>_xlfn.IFNA(VLOOKUP($C95&amp;","&amp;U3,汇编指令!$C$2:$D$235,2,FALSE),"")</f>
        <v/>
      </c>
      <c r="V95" s="32" t="str">
        <f>_xlfn.IFNA(VLOOKUP($C95&amp;","&amp;V3,汇编指令!$C$2:$D$235,2,FALSE),"")</f>
        <v/>
      </c>
      <c r="W95" s="32" t="str">
        <f>_xlfn.IFNA(VLOOKUP($C95&amp;","&amp;W3,汇编指令!$C$2:$D$235,2,FALSE),"")</f>
        <v/>
      </c>
      <c r="X95" s="32" t="str">
        <f>_xlfn.IFNA(VLOOKUP($C95&amp;","&amp;X3,汇编指令!$C$2:$D$235,2,FALSE),"")</f>
        <v/>
      </c>
      <c r="Y95" s="32" t="str">
        <f>_xlfn.IFNA(VLOOKUP($C95&amp;","&amp;Y3,汇编指令!$C$2:$D$235,2,FALSE),"")</f>
        <v/>
      </c>
      <c r="Z95" s="32" t="str">
        <f>_xlfn.IFNA(VLOOKUP($C95&amp;","&amp;Z3,汇编指令!$C$2:$D$235,2,FALSE),"")</f>
        <v/>
      </c>
      <c r="AA95" s="32" t="str">
        <f>_xlfn.IFNA(VLOOKUP($C95&amp;","&amp;AA3,汇编指令!$C$2:$D$235,2,FALSE),"")</f>
        <v/>
      </c>
      <c r="AB95" s="32" t="str">
        <f>_xlfn.IFNA(VLOOKUP($C95&amp;","&amp;AB3,汇编指令!$C$2:$D$235,2,FALSE),"")</f>
        <v/>
      </c>
    </row>
    <row r="96" ht="20" customHeight="1" spans="1:28">
      <c r="A96" s="16">
        <v>2</v>
      </c>
      <c r="B96" s="21">
        <f t="shared" si="3"/>
        <v>92</v>
      </c>
      <c r="C96" s="24" t="s">
        <v>1011</v>
      </c>
      <c r="D96" s="23" t="str">
        <f t="shared" si="4"/>
        <v>5C</v>
      </c>
      <c r="E96" s="34" t="str">
        <f>_xlfn.IFNA(VLOOKUP($C96&amp;","&amp;E3,汇编指令!$C$2:$D$235,2,FALSE),"")</f>
        <v/>
      </c>
      <c r="F96" s="33" t="str">
        <f>_xlfn.IFNA(VLOOKUP($C96&amp;","&amp;F3,汇编指令!$C$2:$D$235,2,FALSE),"")</f>
        <v>98</v>
      </c>
      <c r="G96" s="33" t="str">
        <f>_xlfn.IFNA(VLOOKUP($C96&amp;","&amp;G3,汇编指令!$C$2:$D$235,2,FALSE),"")</f>
        <v>99</v>
      </c>
      <c r="H96" s="33" t="str">
        <f>_xlfn.IFNA(VLOOKUP($C96&amp;","&amp;H3,汇编指令!$C$2:$D$235,2,FALSE),"")</f>
        <v>9A</v>
      </c>
      <c r="I96" s="33" t="str">
        <f>_xlfn.IFNA(VLOOKUP($C96&amp;","&amp;I3,汇编指令!$C$2:$D$235,2,FALSE),"")</f>
        <v>9B</v>
      </c>
      <c r="J96" s="33" t="str">
        <f>_xlfn.IFNA(VLOOKUP($C96&amp;","&amp;J3,汇编指令!$C$2:$D$235,2,FALSE),"")</f>
        <v>9C</v>
      </c>
      <c r="K96" s="33" t="str">
        <f>_xlfn.IFNA(VLOOKUP($C96&amp;","&amp;K3,汇编指令!$C$2:$D$235,2,FALSE),"")</f>
        <v>9D</v>
      </c>
      <c r="L96" s="33" t="str">
        <f>_xlfn.IFNA(VLOOKUP($C96&amp;","&amp;L3,汇编指令!$C$2:$D$235,2,FALSE),"")</f>
        <v>9E</v>
      </c>
      <c r="M96" s="33" t="str">
        <f>_xlfn.IFNA(VLOOKUP($C96&amp;","&amp;M3,汇编指令!$C$2:$D$235,2,FALSE),"")</f>
        <v>9F</v>
      </c>
      <c r="N96" s="33" t="str">
        <f>_xlfn.IFNA(VLOOKUP($C96&amp;","&amp;N3,汇编指令!$C$2:$D$235,2,FALSE),"")</f>
        <v>94</v>
      </c>
      <c r="O96" s="33" t="str">
        <f>_xlfn.IFNA(VLOOKUP($C96&amp;","&amp;O3,汇编指令!$C$2:$D$235,2,FALSE),"")</f>
        <v>95</v>
      </c>
      <c r="P96" s="33" t="str">
        <f>_xlfn.IFNA(VLOOKUP($C96&amp;","&amp;P3,汇编指令!$C$2:$D$235,2,FALSE),"")</f>
        <v>96</v>
      </c>
      <c r="Q96" s="33" t="str">
        <f>_xlfn.IFNA(VLOOKUP($C96&amp;","&amp;Q3,汇编指令!$C$2:$D$235,2,FALSE),"")</f>
        <v>97</v>
      </c>
      <c r="R96" s="32" t="str">
        <f>_xlfn.IFNA(VLOOKUP($C96&amp;","&amp;R3,汇编指令!$C$2:$D$235,2,FALSE),"")</f>
        <v/>
      </c>
      <c r="S96" s="32" t="str">
        <f>_xlfn.IFNA(VLOOKUP($C96&amp;","&amp;S3,汇编指令!$C$2:$D$235,2,FALSE),"")</f>
        <v/>
      </c>
      <c r="T96" s="32" t="str">
        <f>_xlfn.IFNA(VLOOKUP($C96&amp;","&amp;T3,汇编指令!$C$2:$D$235,2,FALSE),"")</f>
        <v/>
      </c>
      <c r="U96" s="32" t="str">
        <f>_xlfn.IFNA(VLOOKUP($C96&amp;","&amp;U3,汇编指令!$C$2:$D$235,2,FALSE),"")</f>
        <v/>
      </c>
      <c r="V96" s="32" t="str">
        <f>_xlfn.IFNA(VLOOKUP($C96&amp;","&amp;V3,汇编指令!$C$2:$D$235,2,FALSE),"")</f>
        <v/>
      </c>
      <c r="W96" s="32" t="str">
        <f>_xlfn.IFNA(VLOOKUP($C96&amp;","&amp;W3,汇编指令!$C$2:$D$235,2,FALSE),"")</f>
        <v/>
      </c>
      <c r="X96" s="32" t="str">
        <f>_xlfn.IFNA(VLOOKUP($C96&amp;","&amp;X3,汇编指令!$C$2:$D$235,2,FALSE),"")</f>
        <v/>
      </c>
      <c r="Y96" s="32" t="str">
        <f>_xlfn.IFNA(VLOOKUP($C96&amp;","&amp;Y3,汇编指令!$C$2:$D$235,2,FALSE),"")</f>
        <v/>
      </c>
      <c r="Z96" s="32" t="str">
        <f>_xlfn.IFNA(VLOOKUP($C96&amp;","&amp;Z3,汇编指令!$C$2:$D$235,2,FALSE),"")</f>
        <v/>
      </c>
      <c r="AA96" s="32" t="str">
        <f>_xlfn.IFNA(VLOOKUP($C96&amp;","&amp;AA3,汇编指令!$C$2:$D$235,2,FALSE),"")</f>
        <v/>
      </c>
      <c r="AB96" s="32" t="str">
        <f>_xlfn.IFNA(VLOOKUP($C96&amp;","&amp;AB3,汇编指令!$C$2:$D$235,2,FALSE),"")</f>
        <v/>
      </c>
    </row>
    <row r="97" ht="20" customHeight="1" spans="1:28">
      <c r="A97" s="16">
        <v>2</v>
      </c>
      <c r="B97" s="21">
        <f t="shared" si="3"/>
        <v>93</v>
      </c>
      <c r="C97" s="24" t="s">
        <v>1012</v>
      </c>
      <c r="D97" s="23" t="str">
        <f t="shared" si="4"/>
        <v>5D</v>
      </c>
      <c r="E97" s="34" t="str">
        <f>_xlfn.IFNA(VLOOKUP($C97&amp;","&amp;E3,汇编指令!$C$2:$D$235,2,FALSE),"")</f>
        <v/>
      </c>
      <c r="F97" s="33" t="str">
        <f>_xlfn.IFNA(VLOOKUP($C97&amp;","&amp;F3,汇编指令!$C$2:$D$235,2,FALSE),"")</f>
        <v>C8</v>
      </c>
      <c r="G97" s="33" t="str">
        <f>_xlfn.IFNA(VLOOKUP($C97&amp;","&amp;G3,汇编指令!$C$2:$D$235,2,FALSE),"")</f>
        <v>C9</v>
      </c>
      <c r="H97" s="33" t="str">
        <f>_xlfn.IFNA(VLOOKUP($C97&amp;","&amp;H3,汇编指令!$C$2:$D$235,2,FALSE),"")</f>
        <v>CA</v>
      </c>
      <c r="I97" s="33" t="str">
        <f>_xlfn.IFNA(VLOOKUP($C97&amp;","&amp;I3,汇编指令!$C$2:$D$235,2,FALSE),"")</f>
        <v>CB</v>
      </c>
      <c r="J97" s="33" t="str">
        <f>_xlfn.IFNA(VLOOKUP($C97&amp;","&amp;J3,汇编指令!$C$2:$D$235,2,FALSE),"")</f>
        <v>CC</v>
      </c>
      <c r="K97" s="33" t="str">
        <f>_xlfn.IFNA(VLOOKUP($C97&amp;","&amp;K3,汇编指令!$C$2:$D$235,2,FALSE),"")</f>
        <v>CD</v>
      </c>
      <c r="L97" s="33" t="str">
        <f>_xlfn.IFNA(VLOOKUP($C97&amp;","&amp;L3,汇编指令!$C$2:$D$235,2,FALSE),"")</f>
        <v>CE</v>
      </c>
      <c r="M97" s="33" t="str">
        <f>_xlfn.IFNA(VLOOKUP($C97&amp;","&amp;M3,汇编指令!$C$2:$D$235,2,FALSE),"")</f>
        <v>CF</v>
      </c>
      <c r="N97" s="32" t="str">
        <f>_xlfn.IFNA(VLOOKUP($C97&amp;","&amp;N3,汇编指令!$C$2:$D$235,2,FALSE),"")</f>
        <v/>
      </c>
      <c r="O97" s="33" t="str">
        <f>_xlfn.IFNA(VLOOKUP($C97&amp;","&amp;O3,汇编指令!$C$2:$D$235,2,FALSE),"")</f>
        <v>C5</v>
      </c>
      <c r="P97" s="33" t="str">
        <f>_xlfn.IFNA(VLOOKUP($C97&amp;","&amp;P3,汇编指令!$C$2:$D$235,2,FALSE),"")</f>
        <v>C6</v>
      </c>
      <c r="Q97" s="33" t="str">
        <f>_xlfn.IFNA(VLOOKUP($C97&amp;","&amp;Q3,汇编指令!$C$2:$D$235,2,FALSE),"")</f>
        <v>C7</v>
      </c>
      <c r="R97" s="32" t="str">
        <f>_xlfn.IFNA(VLOOKUP($C97&amp;","&amp;R3,汇编指令!$C$2:$D$235,2,FALSE),"")</f>
        <v/>
      </c>
      <c r="S97" s="32" t="str">
        <f>_xlfn.IFNA(VLOOKUP($C97&amp;","&amp;S3,汇编指令!$C$2:$D$235,2,FALSE),"")</f>
        <v/>
      </c>
      <c r="T97" s="32" t="str">
        <f>_xlfn.IFNA(VLOOKUP($C97&amp;","&amp;T3,汇编指令!$C$2:$D$235,2,FALSE),"")</f>
        <v/>
      </c>
      <c r="U97" s="32" t="str">
        <f>_xlfn.IFNA(VLOOKUP($C97&amp;","&amp;U3,汇编指令!$C$2:$D$235,2,FALSE),"")</f>
        <v/>
      </c>
      <c r="V97" s="32" t="str">
        <f>_xlfn.IFNA(VLOOKUP($C97&amp;","&amp;V3,汇编指令!$C$2:$D$235,2,FALSE),"")</f>
        <v/>
      </c>
      <c r="W97" s="32" t="str">
        <f>_xlfn.IFNA(VLOOKUP($C97&amp;","&amp;W3,汇编指令!$C$2:$D$235,2,FALSE),"")</f>
        <v/>
      </c>
      <c r="X97" s="32" t="str">
        <f>_xlfn.IFNA(VLOOKUP($C97&amp;","&amp;X3,汇编指令!$C$2:$D$235,2,FALSE),"")</f>
        <v/>
      </c>
      <c r="Y97" s="32" t="str">
        <f>_xlfn.IFNA(VLOOKUP($C97&amp;","&amp;Y3,汇编指令!$C$2:$D$235,2,FALSE),"")</f>
        <v/>
      </c>
      <c r="Z97" s="32" t="str">
        <f>_xlfn.IFNA(VLOOKUP($C97&amp;","&amp;Z3,汇编指令!$C$2:$D$235,2,FALSE),"")</f>
        <v/>
      </c>
      <c r="AA97" s="32" t="str">
        <f>_xlfn.IFNA(VLOOKUP($C97&amp;","&amp;AA3,汇编指令!$C$2:$D$235,2,FALSE),"")</f>
        <v/>
      </c>
      <c r="AB97" s="32" t="str">
        <f>_xlfn.IFNA(VLOOKUP($C97&amp;","&amp;AB3,汇编指令!$C$2:$D$235,2,FALSE),"")</f>
        <v/>
      </c>
    </row>
    <row r="98" ht="20" customHeight="1" spans="1:28">
      <c r="A98" s="16">
        <v>2</v>
      </c>
      <c r="B98" s="21">
        <f t="shared" si="3"/>
        <v>94</v>
      </c>
      <c r="C98" s="24" t="s">
        <v>1013</v>
      </c>
      <c r="D98" s="23" t="str">
        <f t="shared" si="4"/>
        <v>5E</v>
      </c>
      <c r="E98" s="34" t="str">
        <f>_xlfn.IFNA(VLOOKUP($C98&amp;","&amp;E3,汇编指令!$C$2:$D$235,2,FALSE),"")</f>
        <v/>
      </c>
      <c r="F98" s="32" t="str">
        <f>_xlfn.IFNA(VLOOKUP($C98&amp;","&amp;F3,汇编指令!$C$2:$D$235,2,FALSE),"")</f>
        <v/>
      </c>
      <c r="G98" s="32" t="str">
        <f>_xlfn.IFNA(VLOOKUP($C98&amp;","&amp;G3,汇编指令!$C$2:$D$235,2,FALSE),"")</f>
        <v/>
      </c>
      <c r="H98" s="32" t="str">
        <f>_xlfn.IFNA(VLOOKUP($C98&amp;","&amp;H3,汇编指令!$C$2:$D$235,2,FALSE),"")</f>
        <v/>
      </c>
      <c r="I98" s="32" t="str">
        <f>_xlfn.IFNA(VLOOKUP($C98&amp;","&amp;I3,汇编指令!$C$2:$D$235,2,FALSE),"")</f>
        <v/>
      </c>
      <c r="J98" s="32" t="str">
        <f>_xlfn.IFNA(VLOOKUP($C98&amp;","&amp;J3,汇编指令!$C$2:$D$235,2,FALSE),"")</f>
        <v/>
      </c>
      <c r="K98" s="32" t="str">
        <f>_xlfn.IFNA(VLOOKUP($C98&amp;","&amp;K3,汇编指令!$C$2:$D$235,2,FALSE),"")</f>
        <v/>
      </c>
      <c r="L98" s="32" t="str">
        <f>_xlfn.IFNA(VLOOKUP($C98&amp;","&amp;L3,汇编指令!$C$2:$D$235,2,FALSE),"")</f>
        <v/>
      </c>
      <c r="M98" s="32" t="str">
        <f>_xlfn.IFNA(VLOOKUP($C98&amp;","&amp;M3,汇编指令!$C$2:$D$235,2,FALSE),"")</f>
        <v/>
      </c>
      <c r="N98" s="32" t="str">
        <f>_xlfn.IFNA(VLOOKUP($C98&amp;","&amp;N3,汇编指令!$C$2:$D$235,2,FALSE),"")</f>
        <v/>
      </c>
      <c r="O98" s="32" t="str">
        <f>_xlfn.IFNA(VLOOKUP($C98&amp;","&amp;O3,汇编指令!$C$2:$D$235,2,FALSE),"")</f>
        <v/>
      </c>
      <c r="P98" s="33" t="str">
        <f>_xlfn.IFNA(VLOOKUP($C98&amp;","&amp;P3,汇编指令!$C$2:$D$235,2,FALSE),"")</f>
        <v>D6</v>
      </c>
      <c r="Q98" s="33" t="str">
        <f>_xlfn.IFNA(VLOOKUP($C98&amp;","&amp;Q3,汇编指令!$C$2:$D$235,2,FALSE),"")</f>
        <v>D7</v>
      </c>
      <c r="R98" s="32" t="str">
        <f>_xlfn.IFNA(VLOOKUP($C98&amp;","&amp;R3,汇编指令!$C$2:$D$235,2,FALSE),"")</f>
        <v/>
      </c>
      <c r="S98" s="32" t="str">
        <f>_xlfn.IFNA(VLOOKUP($C98&amp;","&amp;S3,汇编指令!$C$2:$D$235,2,FALSE),"")</f>
        <v/>
      </c>
      <c r="T98" s="32" t="str">
        <f>_xlfn.IFNA(VLOOKUP($C98&amp;","&amp;T3,汇编指令!$C$2:$D$235,2,FALSE),"")</f>
        <v/>
      </c>
      <c r="U98" s="32" t="str">
        <f>_xlfn.IFNA(VLOOKUP($C98&amp;","&amp;U3,汇编指令!$C$2:$D$235,2,FALSE),"")</f>
        <v/>
      </c>
      <c r="V98" s="32" t="str">
        <f>_xlfn.IFNA(VLOOKUP($C98&amp;","&amp;V3,汇编指令!$C$2:$D$235,2,FALSE),"")</f>
        <v/>
      </c>
      <c r="W98" s="32" t="str">
        <f>_xlfn.IFNA(VLOOKUP($C98&amp;","&amp;W3,汇编指令!$C$2:$D$235,2,FALSE),"")</f>
        <v/>
      </c>
      <c r="X98" s="32" t="str">
        <f>_xlfn.IFNA(VLOOKUP($C98&amp;","&amp;X3,汇编指令!$C$2:$D$235,2,FALSE),"")</f>
        <v/>
      </c>
      <c r="Y98" s="32" t="str">
        <f>_xlfn.IFNA(VLOOKUP($C98&amp;","&amp;Y3,汇编指令!$C$2:$D$235,2,FALSE),"")</f>
        <v/>
      </c>
      <c r="Z98" s="32" t="str">
        <f>_xlfn.IFNA(VLOOKUP($C98&amp;","&amp;Z3,汇编指令!$C$2:$D$235,2,FALSE),"")</f>
        <v/>
      </c>
      <c r="AA98" s="32" t="str">
        <f>_xlfn.IFNA(VLOOKUP($C98&amp;","&amp;AA3,汇编指令!$C$2:$D$235,2,FALSE),"")</f>
        <v/>
      </c>
      <c r="AB98" s="32" t="str">
        <f>_xlfn.IFNA(VLOOKUP($C98&amp;","&amp;AB3,汇编指令!$C$2:$D$235,2,FALSE),"")</f>
        <v/>
      </c>
    </row>
    <row r="99" ht="20" customHeight="1" spans="1:28">
      <c r="A99" s="16">
        <v>2</v>
      </c>
      <c r="B99" s="21">
        <f t="shared" si="3"/>
        <v>95</v>
      </c>
      <c r="C99" s="24" t="s">
        <v>1014</v>
      </c>
      <c r="D99" s="23" t="str">
        <f t="shared" si="4"/>
        <v>5F</v>
      </c>
      <c r="E99" s="34" t="str">
        <f>_xlfn.IFNA(VLOOKUP($C99&amp;","&amp;E3,汇编指令!$C$2:$D$235,2,FALSE),"")</f>
        <v/>
      </c>
      <c r="F99" s="33" t="str">
        <f>_xlfn.IFNA(VLOOKUP($C99&amp;","&amp;F3,汇编指令!$C$2:$D$235,2,FALSE),"")</f>
        <v>68</v>
      </c>
      <c r="G99" s="33" t="str">
        <f>_xlfn.IFNA(VLOOKUP($C99&amp;","&amp;G3,汇编指令!$C$2:$D$235,2,FALSE),"")</f>
        <v>69</v>
      </c>
      <c r="H99" s="33" t="str">
        <f>_xlfn.IFNA(VLOOKUP($C99&amp;","&amp;H3,汇编指令!$C$2:$D$235,2,FALSE),"")</f>
        <v>6A</v>
      </c>
      <c r="I99" s="33" t="str">
        <f>_xlfn.IFNA(VLOOKUP($C99&amp;","&amp;I3,汇编指令!$C$2:$D$235,2,FALSE),"")</f>
        <v>6B</v>
      </c>
      <c r="J99" s="33" t="str">
        <f>_xlfn.IFNA(VLOOKUP($C99&amp;","&amp;J3,汇编指令!$C$2:$D$235,2,FALSE),"")</f>
        <v>6C</v>
      </c>
      <c r="K99" s="33" t="str">
        <f>_xlfn.IFNA(VLOOKUP($C99&amp;","&amp;K3,汇编指令!$C$2:$D$235,2,FALSE),"")</f>
        <v>6D</v>
      </c>
      <c r="L99" s="33" t="str">
        <f>_xlfn.IFNA(VLOOKUP($C99&amp;","&amp;L3,汇编指令!$C$2:$D$235,2,FALSE),"")</f>
        <v>6E</v>
      </c>
      <c r="M99" s="33" t="str">
        <f>_xlfn.IFNA(VLOOKUP($C99&amp;","&amp;M3,汇编指令!$C$2:$D$235,2,FALSE),"")</f>
        <v>6F</v>
      </c>
      <c r="N99" s="33" t="str">
        <f>_xlfn.IFNA(VLOOKUP($C99&amp;","&amp;N3,汇编指令!$C$2:$D$235,2,FALSE),"")</f>
        <v>64</v>
      </c>
      <c r="O99" s="33" t="str">
        <f>_xlfn.IFNA(VLOOKUP($C99&amp;","&amp;O3,汇编指令!$C$2:$D$235,2,FALSE),"")</f>
        <v>65</v>
      </c>
      <c r="P99" s="33" t="str">
        <f>_xlfn.IFNA(VLOOKUP($C99&amp;","&amp;P3,汇编指令!$C$2:$D$235,2,FALSE),"")</f>
        <v>66</v>
      </c>
      <c r="Q99" s="33" t="str">
        <f>_xlfn.IFNA(VLOOKUP($C99&amp;","&amp;Q3,汇编指令!$C$2:$D$235,2,FALSE),"")</f>
        <v>67</v>
      </c>
      <c r="R99" s="32" t="str">
        <f>_xlfn.IFNA(VLOOKUP($C99&amp;","&amp;R3,汇编指令!$C$2:$D$235,2,FALSE),"")</f>
        <v/>
      </c>
      <c r="S99" s="32" t="str">
        <f>_xlfn.IFNA(VLOOKUP($C99&amp;","&amp;S3,汇编指令!$C$2:$D$235,2,FALSE),"")</f>
        <v/>
      </c>
      <c r="T99" s="32" t="str">
        <f>_xlfn.IFNA(VLOOKUP($C99&amp;","&amp;T3,汇编指令!$C$2:$D$235,2,FALSE),"")</f>
        <v/>
      </c>
      <c r="U99" s="32" t="str">
        <f>_xlfn.IFNA(VLOOKUP($C99&amp;","&amp;U3,汇编指令!$C$2:$D$235,2,FALSE),"")</f>
        <v/>
      </c>
      <c r="V99" s="32" t="str">
        <f>_xlfn.IFNA(VLOOKUP($C99&amp;","&amp;V3,汇编指令!$C$2:$D$235,2,FALSE),"")</f>
        <v/>
      </c>
      <c r="W99" s="32" t="str">
        <f>_xlfn.IFNA(VLOOKUP($C99&amp;","&amp;W3,汇编指令!$C$2:$D$235,2,FALSE),"")</f>
        <v/>
      </c>
      <c r="X99" s="32" t="str">
        <f>_xlfn.IFNA(VLOOKUP($C99&amp;","&amp;X3,汇编指令!$C$2:$D$235,2,FALSE),"")</f>
        <v/>
      </c>
      <c r="Y99" s="32" t="str">
        <f>_xlfn.IFNA(VLOOKUP($C99&amp;","&amp;Y3,汇编指令!$C$2:$D$235,2,FALSE),"")</f>
        <v/>
      </c>
      <c r="Z99" s="32" t="str">
        <f>_xlfn.IFNA(VLOOKUP($C99&amp;","&amp;Z3,汇编指令!$C$2:$D$235,2,FALSE),"")</f>
        <v/>
      </c>
      <c r="AA99" s="32" t="str">
        <f>_xlfn.IFNA(VLOOKUP($C99&amp;","&amp;AA3,汇编指令!$C$2:$D$235,2,FALSE),"")</f>
        <v/>
      </c>
      <c r="AB99" s="32" t="str">
        <f>_xlfn.IFNA(VLOOKUP($C99&amp;","&amp;AB3,汇编指令!$C$2:$D$235,2,FALSE),"")</f>
        <v/>
      </c>
    </row>
    <row r="100" ht="20" customHeight="1" spans="1:28">
      <c r="A100" s="16">
        <v>2</v>
      </c>
      <c r="B100" s="21">
        <f t="shared" si="3"/>
        <v>96</v>
      </c>
      <c r="C100" s="24" t="s">
        <v>1015</v>
      </c>
      <c r="D100" s="23" t="str">
        <f t="shared" si="4"/>
        <v>60</v>
      </c>
      <c r="E100" s="34" t="str">
        <f>_xlfn.IFNA(VLOOKUP($C100&amp;","&amp;E3,汇编指令!$C$2:$D$235,2,FALSE),"")</f>
        <v/>
      </c>
      <c r="F100" s="32" t="str">
        <f>_xlfn.IFNA(VLOOKUP($C100&amp;","&amp;F3,汇编指令!$C$2:$D$235,2,FALSE),"")</f>
        <v/>
      </c>
      <c r="G100" s="32" t="str">
        <f>_xlfn.IFNA(VLOOKUP($C100&amp;","&amp;G3,汇编指令!$C$2:$D$235,2,FALSE),"")</f>
        <v/>
      </c>
      <c r="H100" s="32" t="str">
        <f>_xlfn.IFNA(VLOOKUP($C100&amp;","&amp;H3,汇编指令!$C$2:$D$235,2,FALSE),"")</f>
        <v/>
      </c>
      <c r="I100" s="32" t="str">
        <f>_xlfn.IFNA(VLOOKUP($C100&amp;","&amp;I3,汇编指令!$C$2:$D$235,2,FALSE),"")</f>
        <v/>
      </c>
      <c r="J100" s="32" t="str">
        <f>_xlfn.IFNA(VLOOKUP($C100&amp;","&amp;J3,汇编指令!$C$2:$D$235,2,FALSE),"")</f>
        <v/>
      </c>
      <c r="K100" s="32" t="str">
        <f>_xlfn.IFNA(VLOOKUP($C100&amp;","&amp;K3,汇编指令!$C$2:$D$235,2,FALSE),"")</f>
        <v/>
      </c>
      <c r="L100" s="32" t="str">
        <f>_xlfn.IFNA(VLOOKUP($C100&amp;","&amp;L3,汇编指令!$C$2:$D$235,2,FALSE),"")</f>
        <v/>
      </c>
      <c r="M100" s="32" t="str">
        <f>_xlfn.IFNA(VLOOKUP($C100&amp;","&amp;M3,汇编指令!$C$2:$D$235,2,FALSE),"")</f>
        <v/>
      </c>
      <c r="N100" s="33" t="str">
        <f>_xlfn.IFNA(VLOOKUP($C100&amp;","&amp;N3,汇编指令!$C$2:$D$235,2,FALSE),"")</f>
        <v>62</v>
      </c>
      <c r="O100" s="32" t="str">
        <f>_xlfn.IFNA(VLOOKUP($C100&amp;","&amp;O3,汇编指令!$C$2:$D$235,2,FALSE),"")</f>
        <v/>
      </c>
      <c r="P100" s="32" t="str">
        <f>_xlfn.IFNA(VLOOKUP($C100&amp;","&amp;P3,汇编指令!$C$2:$D$235,2,FALSE),"")</f>
        <v/>
      </c>
      <c r="Q100" s="32" t="str">
        <f>_xlfn.IFNA(VLOOKUP($C100&amp;","&amp;Q3,汇编指令!$C$2:$D$235,2,FALSE),"")</f>
        <v/>
      </c>
      <c r="R100" s="32" t="str">
        <f>_xlfn.IFNA(VLOOKUP($C100&amp;","&amp;R3,汇编指令!$C$2:$D$235,2,FALSE),"")</f>
        <v/>
      </c>
      <c r="S100" s="32" t="str">
        <f>_xlfn.IFNA(VLOOKUP($C100&amp;","&amp;S3,汇编指令!$C$2:$D$235,2,FALSE),"")</f>
        <v/>
      </c>
      <c r="T100" s="32" t="str">
        <f>_xlfn.IFNA(VLOOKUP($C100&amp;","&amp;T3,汇编指令!$C$2:$D$235,2,FALSE),"")</f>
        <v/>
      </c>
      <c r="U100" s="32" t="str">
        <f>_xlfn.IFNA(VLOOKUP($C100&amp;","&amp;U3,汇编指令!$C$2:$D$235,2,FALSE),"")</f>
        <v/>
      </c>
      <c r="V100" s="32" t="str">
        <f>_xlfn.IFNA(VLOOKUP($C100&amp;","&amp;V3,汇编指令!$C$2:$D$235,2,FALSE),"")</f>
        <v/>
      </c>
      <c r="W100" s="32" t="str">
        <f>_xlfn.IFNA(VLOOKUP($C100&amp;","&amp;W3,汇编指令!$C$2:$D$235,2,FALSE),"")</f>
        <v/>
      </c>
      <c r="X100" s="32" t="str">
        <f>_xlfn.IFNA(VLOOKUP($C100&amp;","&amp;X3,汇编指令!$C$2:$D$235,2,FALSE),"")</f>
        <v/>
      </c>
      <c r="Y100" s="32" t="str">
        <f>_xlfn.IFNA(VLOOKUP($C100&amp;","&amp;Y3,汇编指令!$C$2:$D$235,2,FALSE),"")</f>
        <v/>
      </c>
      <c r="Z100" s="32" t="str">
        <f>_xlfn.IFNA(VLOOKUP($C100&amp;","&amp;Z3,汇编指令!$C$2:$D$235,2,FALSE),"")</f>
        <v/>
      </c>
      <c r="AA100" s="32" t="str">
        <f>_xlfn.IFNA(VLOOKUP($C100&amp;","&amp;AA3,汇编指令!$C$2:$D$235,2,FALSE),"")</f>
        <v/>
      </c>
      <c r="AB100" s="32" t="str">
        <f>_xlfn.IFNA(VLOOKUP($C100&amp;","&amp;AB3,汇编指令!$C$2:$D$235,2,FALSE),"")</f>
        <v/>
      </c>
    </row>
    <row r="101" ht="20" customHeight="1" spans="1:28">
      <c r="A101" s="16">
        <v>3</v>
      </c>
      <c r="B101" s="21">
        <f t="shared" si="3"/>
        <v>97</v>
      </c>
      <c r="C101" s="36" t="s">
        <v>1016</v>
      </c>
      <c r="D101" s="23" t="str">
        <f t="shared" si="4"/>
        <v>61</v>
      </c>
      <c r="E101" s="34" t="str">
        <f>_xlfn.IFNA(VLOOKUP($C101&amp;","&amp;E3,汇编指令!$C$2:$D$235,2,FALSE),"")</f>
        <v/>
      </c>
      <c r="F101" s="32" t="str">
        <f>_xlfn.IFNA(VLOOKUP($C101&amp;","&amp;F3,汇编指令!$C$2:$D$235,2,FALSE),"")</f>
        <v/>
      </c>
      <c r="G101" s="32" t="str">
        <f>_xlfn.IFNA(VLOOKUP($C101&amp;","&amp;G3,汇编指令!$C$2:$D$235,2,FALSE),"")</f>
        <v/>
      </c>
      <c r="H101" s="32" t="str">
        <f>_xlfn.IFNA(VLOOKUP($C101&amp;","&amp;H3,汇编指令!$C$2:$D$235,2,FALSE),"")</f>
        <v/>
      </c>
      <c r="I101" s="32" t="str">
        <f>_xlfn.IFNA(VLOOKUP($C101&amp;","&amp;I3,汇编指令!$C$2:$D$235,2,FALSE),"")</f>
        <v/>
      </c>
      <c r="J101" s="32" t="str">
        <f>_xlfn.IFNA(VLOOKUP($C101&amp;","&amp;J3,汇编指令!$C$2:$D$235,2,FALSE),"")</f>
        <v/>
      </c>
      <c r="K101" s="32" t="str">
        <f>_xlfn.IFNA(VLOOKUP($C101&amp;","&amp;K3,汇编指令!$C$2:$D$235,2,FALSE),"")</f>
        <v/>
      </c>
      <c r="L101" s="32" t="str">
        <f>_xlfn.IFNA(VLOOKUP($C101&amp;","&amp;L3,汇编指令!$C$2:$D$235,2,FALSE),"")</f>
        <v/>
      </c>
      <c r="M101" s="32" t="str">
        <f>_xlfn.IFNA(VLOOKUP($C101&amp;","&amp;M3,汇编指令!$C$2:$D$235,2,FALSE),"")</f>
        <v/>
      </c>
      <c r="N101" s="32" t="str">
        <f>_xlfn.IFNA(VLOOKUP($C101&amp;","&amp;N3,汇编指令!$C$2:$D$235,2,FALSE),"")</f>
        <v/>
      </c>
      <c r="O101" s="32" t="str">
        <f>_xlfn.IFNA(VLOOKUP($C101&amp;","&amp;O3,汇编指令!$C$2:$D$235,2,FALSE),"")</f>
        <v/>
      </c>
      <c r="P101" s="32" t="str">
        <f>_xlfn.IFNA(VLOOKUP($C101&amp;","&amp;P3,汇编指令!$C$2:$D$235,2,FALSE),"")</f>
        <v/>
      </c>
      <c r="Q101" s="32" t="str">
        <f>_xlfn.IFNA(VLOOKUP($C101&amp;","&amp;Q3,汇编指令!$C$2:$D$235,2,FALSE),"")</f>
        <v/>
      </c>
      <c r="R101" s="32" t="str">
        <f>_xlfn.IFNA(VLOOKUP($C101&amp;","&amp;R3,汇编指令!$C$2:$D$235,2,FALSE),"")</f>
        <v/>
      </c>
      <c r="S101" s="32" t="str">
        <f>_xlfn.IFNA(VLOOKUP($C101&amp;","&amp;S3,汇编指令!$C$2:$D$235,2,FALSE),"")</f>
        <v/>
      </c>
      <c r="T101" s="32" t="str">
        <f>_xlfn.IFNA(VLOOKUP($C101&amp;","&amp;T3,汇编指令!$C$2:$D$235,2,FALSE),"")</f>
        <v/>
      </c>
      <c r="U101" s="32" t="str">
        <f>_xlfn.IFNA(VLOOKUP($C101&amp;","&amp;U3,汇编指令!$C$2:$D$235,2,FALSE),"")</f>
        <v/>
      </c>
      <c r="V101" s="32" t="str">
        <f>_xlfn.IFNA(VLOOKUP($C101&amp;","&amp;V3,汇编指令!$C$2:$D$235,2,FALSE),"")</f>
        <v/>
      </c>
      <c r="W101" s="32" t="str">
        <f>_xlfn.IFNA(VLOOKUP($C101&amp;","&amp;W3,汇编指令!$C$2:$D$235,2,FALSE),"")</f>
        <v/>
      </c>
      <c r="X101" s="33" t="str">
        <f>_xlfn.IFNA(VLOOKUP($C101&amp;","&amp;X3,汇编指令!$C$2:$D$235,2,FALSE),"")</f>
        <v>B6</v>
      </c>
      <c r="Y101" s="32" t="str">
        <f>_xlfn.IFNA(VLOOKUP($C101&amp;","&amp;Y3,汇编指令!$C$2:$D$235,2,FALSE),"")</f>
        <v/>
      </c>
      <c r="Z101" s="32" t="str">
        <f>_xlfn.IFNA(VLOOKUP($C101&amp;","&amp;Z3,汇编指令!$C$2:$D$235,2,FALSE),"")</f>
        <v/>
      </c>
      <c r="AA101" s="32" t="str">
        <f>_xlfn.IFNA(VLOOKUP($C101&amp;","&amp;AA3,汇编指令!$C$2:$D$235,2,FALSE),"")</f>
        <v/>
      </c>
      <c r="AB101" s="32" t="str">
        <f>_xlfn.IFNA(VLOOKUP($C101&amp;","&amp;AB3,汇编指令!$C$2:$D$235,2,FALSE),"")</f>
        <v/>
      </c>
    </row>
    <row r="102" ht="20" customHeight="1" spans="1:28">
      <c r="A102" s="16">
        <v>3</v>
      </c>
      <c r="B102" s="21">
        <f t="shared" si="3"/>
        <v>98</v>
      </c>
      <c r="C102" s="36" t="s">
        <v>1017</v>
      </c>
      <c r="D102" s="23" t="str">
        <f t="shared" si="4"/>
        <v>62</v>
      </c>
      <c r="E102" s="34" t="str">
        <f>_xlfn.IFNA(VLOOKUP($C102&amp;","&amp;E3,汇编指令!$C$2:$D$235,2,FALSE),"")</f>
        <v/>
      </c>
      <c r="F102" s="32" t="str">
        <f>_xlfn.IFNA(VLOOKUP($C102&amp;","&amp;F3,汇编指令!$C$2:$D$235,2,FALSE),"")</f>
        <v/>
      </c>
      <c r="G102" s="32" t="str">
        <f>_xlfn.IFNA(VLOOKUP($C102&amp;","&amp;G3,汇编指令!$C$2:$D$235,2,FALSE),"")</f>
        <v/>
      </c>
      <c r="H102" s="32" t="str">
        <f>_xlfn.IFNA(VLOOKUP($C102&amp;","&amp;H3,汇编指令!$C$2:$D$235,2,FALSE),"")</f>
        <v/>
      </c>
      <c r="I102" s="32" t="str">
        <f>_xlfn.IFNA(VLOOKUP($C102&amp;","&amp;I3,汇编指令!$C$2:$D$235,2,FALSE),"")</f>
        <v/>
      </c>
      <c r="J102" s="32" t="str">
        <f>_xlfn.IFNA(VLOOKUP($C102&amp;","&amp;J3,汇编指令!$C$2:$D$235,2,FALSE),"")</f>
        <v/>
      </c>
      <c r="K102" s="32" t="str">
        <f>_xlfn.IFNA(VLOOKUP($C102&amp;","&amp;K3,汇编指令!$C$2:$D$235,2,FALSE),"")</f>
        <v/>
      </c>
      <c r="L102" s="32" t="str">
        <f>_xlfn.IFNA(VLOOKUP($C102&amp;","&amp;L3,汇编指令!$C$2:$D$235,2,FALSE),"")</f>
        <v/>
      </c>
      <c r="M102" s="32" t="str">
        <f>_xlfn.IFNA(VLOOKUP($C102&amp;","&amp;M3,汇编指令!$C$2:$D$235,2,FALSE),"")</f>
        <v/>
      </c>
      <c r="N102" s="32" t="str">
        <f>_xlfn.IFNA(VLOOKUP($C102&amp;","&amp;N3,汇编指令!$C$2:$D$235,2,FALSE),"")</f>
        <v/>
      </c>
      <c r="O102" s="32" t="str">
        <f>_xlfn.IFNA(VLOOKUP($C102&amp;","&amp;O3,汇编指令!$C$2:$D$235,2,FALSE),"")</f>
        <v/>
      </c>
      <c r="P102" s="32" t="str">
        <f>_xlfn.IFNA(VLOOKUP($C102&amp;","&amp;P3,汇编指令!$C$2:$D$235,2,FALSE),"")</f>
        <v/>
      </c>
      <c r="Q102" s="32" t="str">
        <f>_xlfn.IFNA(VLOOKUP($C102&amp;","&amp;Q3,汇编指令!$C$2:$D$235,2,FALSE),"")</f>
        <v/>
      </c>
      <c r="R102" s="32" t="str">
        <f>_xlfn.IFNA(VLOOKUP($C102&amp;","&amp;R3,汇编指令!$C$2:$D$235,2,FALSE),"")</f>
        <v/>
      </c>
      <c r="S102" s="32" t="str">
        <f>_xlfn.IFNA(VLOOKUP($C102&amp;","&amp;S3,汇编指令!$C$2:$D$235,2,FALSE),"")</f>
        <v/>
      </c>
      <c r="T102" s="32" t="str">
        <f>_xlfn.IFNA(VLOOKUP($C102&amp;","&amp;T3,汇编指令!$C$2:$D$235,2,FALSE),"")</f>
        <v/>
      </c>
      <c r="U102" s="32" t="str">
        <f>_xlfn.IFNA(VLOOKUP($C102&amp;","&amp;U3,汇编指令!$C$2:$D$235,2,FALSE),"")</f>
        <v/>
      </c>
      <c r="V102" s="32" t="str">
        <f>_xlfn.IFNA(VLOOKUP($C102&amp;","&amp;V3,汇编指令!$C$2:$D$235,2,FALSE),"")</f>
        <v/>
      </c>
      <c r="W102" s="32" t="str">
        <f>_xlfn.IFNA(VLOOKUP($C102&amp;","&amp;W3,汇编指令!$C$2:$D$235,2,FALSE),"")</f>
        <v/>
      </c>
      <c r="X102" s="33" t="str">
        <f>_xlfn.IFNA(VLOOKUP($C102&amp;","&amp;X3,汇编指令!$C$2:$D$235,2,FALSE),"")</f>
        <v>B7</v>
      </c>
      <c r="Y102" s="32" t="str">
        <f>_xlfn.IFNA(VLOOKUP($C102&amp;","&amp;Y3,汇编指令!$C$2:$D$235,2,FALSE),"")</f>
        <v/>
      </c>
      <c r="Z102" s="32" t="str">
        <f>_xlfn.IFNA(VLOOKUP($C102&amp;","&amp;Z3,汇编指令!$C$2:$D$235,2,FALSE),"")</f>
        <v/>
      </c>
      <c r="AA102" s="32" t="str">
        <f>_xlfn.IFNA(VLOOKUP($C102&amp;","&amp;AA3,汇编指令!$C$2:$D$235,2,FALSE),"")</f>
        <v/>
      </c>
      <c r="AB102" s="32" t="str">
        <f>_xlfn.IFNA(VLOOKUP($C102&amp;","&amp;AB3,汇编指令!$C$2:$D$235,2,FALSE),"")</f>
        <v/>
      </c>
    </row>
    <row r="103" ht="20" customHeight="1" spans="1:28">
      <c r="A103" s="16">
        <v>3</v>
      </c>
      <c r="B103" s="21">
        <f t="shared" si="3"/>
        <v>99</v>
      </c>
      <c r="C103" s="36" t="s">
        <v>1018</v>
      </c>
      <c r="D103" s="23" t="str">
        <f t="shared" si="4"/>
        <v>63</v>
      </c>
      <c r="E103" s="34" t="str">
        <f>_xlfn.IFNA(VLOOKUP($C103&amp;","&amp;E3,汇编指令!$C$2:$D$235,2,FALSE),"")</f>
        <v/>
      </c>
      <c r="F103" s="32" t="str">
        <f>_xlfn.IFNA(VLOOKUP($C103&amp;","&amp;F3,汇编指令!$C$2:$D$235,2,FALSE),"")</f>
        <v/>
      </c>
      <c r="G103" s="32" t="str">
        <f>_xlfn.IFNA(VLOOKUP($C103&amp;","&amp;G3,汇编指令!$C$2:$D$235,2,FALSE),"")</f>
        <v/>
      </c>
      <c r="H103" s="32" t="str">
        <f>_xlfn.IFNA(VLOOKUP($C103&amp;","&amp;H3,汇编指令!$C$2:$D$235,2,FALSE),"")</f>
        <v/>
      </c>
      <c r="I103" s="32" t="str">
        <f>_xlfn.IFNA(VLOOKUP($C103&amp;","&amp;I3,汇编指令!$C$2:$D$235,2,FALSE),"")</f>
        <v/>
      </c>
      <c r="J103" s="32" t="str">
        <f>_xlfn.IFNA(VLOOKUP($C103&amp;","&amp;J3,汇编指令!$C$2:$D$235,2,FALSE),"")</f>
        <v/>
      </c>
      <c r="K103" s="32" t="str">
        <f>_xlfn.IFNA(VLOOKUP($C103&amp;","&amp;K3,汇编指令!$C$2:$D$235,2,FALSE),"")</f>
        <v/>
      </c>
      <c r="L103" s="32" t="str">
        <f>_xlfn.IFNA(VLOOKUP($C103&amp;","&amp;L3,汇编指令!$C$2:$D$235,2,FALSE),"")</f>
        <v/>
      </c>
      <c r="M103" s="32" t="str">
        <f>_xlfn.IFNA(VLOOKUP($C103&amp;","&amp;M3,汇编指令!$C$2:$D$235,2,FALSE),"")</f>
        <v/>
      </c>
      <c r="N103" s="32" t="str">
        <f>_xlfn.IFNA(VLOOKUP($C103&amp;","&amp;N3,汇编指令!$C$2:$D$235,2,FALSE),"")</f>
        <v/>
      </c>
      <c r="O103" s="32" t="str">
        <f>_xlfn.IFNA(VLOOKUP($C103&amp;","&amp;O3,汇编指令!$C$2:$D$235,2,FALSE),"")</f>
        <v/>
      </c>
      <c r="P103" s="32" t="str">
        <f>_xlfn.IFNA(VLOOKUP($C103&amp;","&amp;P3,汇编指令!$C$2:$D$235,2,FALSE),"")</f>
        <v/>
      </c>
      <c r="Q103" s="32" t="str">
        <f>_xlfn.IFNA(VLOOKUP($C103&amp;","&amp;Q3,汇编指令!$C$2:$D$235,2,FALSE),"")</f>
        <v/>
      </c>
      <c r="R103" s="32" t="str">
        <f>_xlfn.IFNA(VLOOKUP($C103&amp;","&amp;R3,汇编指令!$C$2:$D$235,2,FALSE),"")</f>
        <v/>
      </c>
      <c r="S103" s="32" t="str">
        <f>_xlfn.IFNA(VLOOKUP($C103&amp;","&amp;S3,汇编指令!$C$2:$D$235,2,FALSE),"")</f>
        <v/>
      </c>
      <c r="T103" s="32" t="str">
        <f>_xlfn.IFNA(VLOOKUP($C103&amp;","&amp;T3,汇编指令!$C$2:$D$235,2,FALSE),"")</f>
        <v/>
      </c>
      <c r="U103" s="32" t="str">
        <f>_xlfn.IFNA(VLOOKUP($C103&amp;","&amp;U3,汇编指令!$C$2:$D$235,2,FALSE),"")</f>
        <v/>
      </c>
      <c r="V103" s="32" t="str">
        <f>_xlfn.IFNA(VLOOKUP($C103&amp;","&amp;V3,汇编指令!$C$2:$D$235,2,FALSE),"")</f>
        <v/>
      </c>
      <c r="W103" s="32" t="str">
        <f>_xlfn.IFNA(VLOOKUP($C103&amp;","&amp;W3,汇编指令!$C$2:$D$235,2,FALSE),"")</f>
        <v/>
      </c>
      <c r="X103" s="33" t="str">
        <f>_xlfn.IFNA(VLOOKUP($C103&amp;","&amp;X3,汇编指令!$C$2:$D$235,2,FALSE),"")</f>
        <v>B4</v>
      </c>
      <c r="Y103" s="32" t="str">
        <f>_xlfn.IFNA(VLOOKUP($C103&amp;","&amp;Y3,汇编指令!$C$2:$D$235,2,FALSE),"")</f>
        <v/>
      </c>
      <c r="Z103" s="32" t="str">
        <f>_xlfn.IFNA(VLOOKUP($C103&amp;","&amp;Z3,汇编指令!$C$2:$D$235,2,FALSE),"")</f>
        <v/>
      </c>
      <c r="AA103" s="32" t="str">
        <f>_xlfn.IFNA(VLOOKUP($C103&amp;","&amp;AA3,汇编指令!$C$2:$D$235,2,FALSE),"")</f>
        <v/>
      </c>
      <c r="AB103" s="32" t="str">
        <f>_xlfn.IFNA(VLOOKUP($C103&amp;","&amp;AB3,汇编指令!$C$2:$D$235,2,FALSE),"")</f>
        <v/>
      </c>
    </row>
    <row r="104" ht="20" customHeight="1" spans="1:28">
      <c r="A104" s="16">
        <v>3</v>
      </c>
      <c r="B104" s="21">
        <f t="shared" si="3"/>
        <v>100</v>
      </c>
      <c r="C104" s="36" t="s">
        <v>1019</v>
      </c>
      <c r="D104" s="23" t="str">
        <f t="shared" si="4"/>
        <v>64</v>
      </c>
      <c r="E104" s="34" t="str">
        <f>_xlfn.IFNA(VLOOKUP($C104&amp;","&amp;E3,汇编指令!$C$2:$D$235,2,FALSE),"")</f>
        <v/>
      </c>
      <c r="F104" s="32" t="str">
        <f>_xlfn.IFNA(VLOOKUP($C104&amp;","&amp;F3,汇编指令!$C$2:$D$235,2,FALSE),"")</f>
        <v/>
      </c>
      <c r="G104" s="32" t="str">
        <f>_xlfn.IFNA(VLOOKUP($C104&amp;","&amp;G3,汇编指令!$C$2:$D$235,2,FALSE),"")</f>
        <v/>
      </c>
      <c r="H104" s="32" t="str">
        <f>_xlfn.IFNA(VLOOKUP($C104&amp;","&amp;H3,汇编指令!$C$2:$D$235,2,FALSE),"")</f>
        <v/>
      </c>
      <c r="I104" s="32" t="str">
        <f>_xlfn.IFNA(VLOOKUP($C104&amp;","&amp;I3,汇编指令!$C$2:$D$235,2,FALSE),"")</f>
        <v/>
      </c>
      <c r="J104" s="32" t="str">
        <f>_xlfn.IFNA(VLOOKUP($C104&amp;","&amp;J3,汇编指令!$C$2:$D$235,2,FALSE),"")</f>
        <v/>
      </c>
      <c r="K104" s="32" t="str">
        <f>_xlfn.IFNA(VLOOKUP($C104&amp;","&amp;K3,汇编指令!$C$2:$D$235,2,FALSE),"")</f>
        <v/>
      </c>
      <c r="L104" s="32" t="str">
        <f>_xlfn.IFNA(VLOOKUP($C104&amp;","&amp;L3,汇编指令!$C$2:$D$235,2,FALSE),"")</f>
        <v/>
      </c>
      <c r="M104" s="32" t="str">
        <f>_xlfn.IFNA(VLOOKUP($C104&amp;","&amp;M3,汇编指令!$C$2:$D$235,2,FALSE),"")</f>
        <v/>
      </c>
      <c r="N104" s="32" t="str">
        <f>_xlfn.IFNA(VLOOKUP($C104&amp;","&amp;N3,汇编指令!$C$2:$D$235,2,FALSE),"")</f>
        <v/>
      </c>
      <c r="O104" s="32" t="str">
        <f>_xlfn.IFNA(VLOOKUP($C104&amp;","&amp;O3,汇编指令!$C$2:$D$235,2,FALSE),"")</f>
        <v/>
      </c>
      <c r="P104" s="32" t="str">
        <f>_xlfn.IFNA(VLOOKUP($C104&amp;","&amp;P3,汇编指令!$C$2:$D$235,2,FALSE),"")</f>
        <v/>
      </c>
      <c r="Q104" s="32" t="str">
        <f>_xlfn.IFNA(VLOOKUP($C104&amp;","&amp;Q3,汇编指令!$C$2:$D$235,2,FALSE),"")</f>
        <v/>
      </c>
      <c r="R104" s="32" t="str">
        <f>_xlfn.IFNA(VLOOKUP($C104&amp;","&amp;R3,汇编指令!$C$2:$D$235,2,FALSE),"")</f>
        <v/>
      </c>
      <c r="S104" s="32" t="str">
        <f>_xlfn.IFNA(VLOOKUP($C104&amp;","&amp;S3,汇编指令!$C$2:$D$235,2,FALSE),"")</f>
        <v/>
      </c>
      <c r="T104" s="32" t="str">
        <f>_xlfn.IFNA(VLOOKUP($C104&amp;","&amp;T3,汇编指令!$C$2:$D$235,2,FALSE),"")</f>
        <v/>
      </c>
      <c r="U104" s="32" t="str">
        <f>_xlfn.IFNA(VLOOKUP($C104&amp;","&amp;U3,汇编指令!$C$2:$D$235,2,FALSE),"")</f>
        <v/>
      </c>
      <c r="V104" s="32" t="str">
        <f>_xlfn.IFNA(VLOOKUP($C104&amp;","&amp;V3,汇编指令!$C$2:$D$235,2,FALSE),"")</f>
        <v/>
      </c>
      <c r="W104" s="32" t="str">
        <f>_xlfn.IFNA(VLOOKUP($C104&amp;","&amp;W3,汇编指令!$C$2:$D$235,2,FALSE),"")</f>
        <v/>
      </c>
      <c r="X104" s="33" t="str">
        <f>_xlfn.IFNA(VLOOKUP($C104&amp;","&amp;X3,汇编指令!$C$2:$D$235,2,FALSE),"")</f>
        <v>B5</v>
      </c>
      <c r="Y104" s="32" t="str">
        <f>_xlfn.IFNA(VLOOKUP($C104&amp;","&amp;Y3,汇编指令!$C$2:$D$235,2,FALSE),"")</f>
        <v/>
      </c>
      <c r="Z104" s="32" t="str">
        <f>_xlfn.IFNA(VLOOKUP($C104&amp;","&amp;Z3,汇编指令!$C$2:$D$235,2,FALSE),"")</f>
        <v/>
      </c>
      <c r="AA104" s="32" t="str">
        <f>_xlfn.IFNA(VLOOKUP($C104&amp;","&amp;AA3,汇编指令!$C$2:$D$235,2,FALSE),"")</f>
        <v/>
      </c>
      <c r="AB104" s="32" t="str">
        <f>_xlfn.IFNA(VLOOKUP($C104&amp;","&amp;AB3,汇编指令!$C$2:$D$235,2,FALSE),"")</f>
        <v/>
      </c>
    </row>
    <row r="105" ht="20" customHeight="1" spans="1:28">
      <c r="A105" s="16">
        <v>3</v>
      </c>
      <c r="B105" s="21">
        <f t="shared" si="3"/>
        <v>101</v>
      </c>
      <c r="C105" s="36" t="s">
        <v>1020</v>
      </c>
      <c r="D105" s="23" t="str">
        <f t="shared" si="4"/>
        <v>65</v>
      </c>
      <c r="E105" s="34" t="str">
        <f>_xlfn.IFNA(VLOOKUP($C105&amp;","&amp;E3,汇编指令!$C$2:$D$235,2,FALSE),"")</f>
        <v/>
      </c>
      <c r="F105" s="32" t="str">
        <f>_xlfn.IFNA(VLOOKUP($C105&amp;","&amp;F3,汇编指令!$C$2:$D$235,2,FALSE),"")</f>
        <v/>
      </c>
      <c r="G105" s="32" t="str">
        <f>_xlfn.IFNA(VLOOKUP($C105&amp;","&amp;G3,汇编指令!$C$2:$D$235,2,FALSE),"")</f>
        <v/>
      </c>
      <c r="H105" s="32" t="str">
        <f>_xlfn.IFNA(VLOOKUP($C105&amp;","&amp;H3,汇编指令!$C$2:$D$235,2,FALSE),"")</f>
        <v/>
      </c>
      <c r="I105" s="32" t="str">
        <f>_xlfn.IFNA(VLOOKUP($C105&amp;","&amp;I3,汇编指令!$C$2:$D$235,2,FALSE),"")</f>
        <v/>
      </c>
      <c r="J105" s="32" t="str">
        <f>_xlfn.IFNA(VLOOKUP($C105&amp;","&amp;J3,汇编指令!$C$2:$D$235,2,FALSE),"")</f>
        <v/>
      </c>
      <c r="K105" s="32" t="str">
        <f>_xlfn.IFNA(VLOOKUP($C105&amp;","&amp;K3,汇编指令!$C$2:$D$235,2,FALSE),"")</f>
        <v/>
      </c>
      <c r="L105" s="32" t="str">
        <f>_xlfn.IFNA(VLOOKUP($C105&amp;","&amp;L3,汇编指令!$C$2:$D$235,2,FALSE),"")</f>
        <v/>
      </c>
      <c r="M105" s="32" t="str">
        <f>_xlfn.IFNA(VLOOKUP($C105&amp;","&amp;M3,汇编指令!$C$2:$D$235,2,FALSE),"")</f>
        <v/>
      </c>
      <c r="N105" s="32" t="str">
        <f>_xlfn.IFNA(VLOOKUP($C105&amp;","&amp;N3,汇编指令!$C$2:$D$235,2,FALSE),"")</f>
        <v/>
      </c>
      <c r="O105" s="32" t="str">
        <f>_xlfn.IFNA(VLOOKUP($C105&amp;","&amp;O3,汇编指令!$C$2:$D$235,2,FALSE),"")</f>
        <v/>
      </c>
      <c r="P105" s="32" t="str">
        <f>_xlfn.IFNA(VLOOKUP($C105&amp;","&amp;P3,汇编指令!$C$2:$D$235,2,FALSE),"")</f>
        <v/>
      </c>
      <c r="Q105" s="32" t="str">
        <f>_xlfn.IFNA(VLOOKUP($C105&amp;","&amp;Q3,汇编指令!$C$2:$D$235,2,FALSE),"")</f>
        <v/>
      </c>
      <c r="R105" s="32" t="str">
        <f>_xlfn.IFNA(VLOOKUP($C105&amp;","&amp;R3,汇编指令!$C$2:$D$235,2,FALSE),"")</f>
        <v/>
      </c>
      <c r="S105" s="32" t="str">
        <f>_xlfn.IFNA(VLOOKUP($C105&amp;","&amp;S3,汇编指令!$C$2:$D$235,2,FALSE),"")</f>
        <v/>
      </c>
      <c r="T105" s="32" t="str">
        <f>_xlfn.IFNA(VLOOKUP($C105&amp;","&amp;T3,汇编指令!$C$2:$D$235,2,FALSE),"")</f>
        <v/>
      </c>
      <c r="U105" s="32" t="str">
        <f>_xlfn.IFNA(VLOOKUP($C105&amp;","&amp;U3,汇编指令!$C$2:$D$235,2,FALSE),"")</f>
        <v/>
      </c>
      <c r="V105" s="32" t="str">
        <f>_xlfn.IFNA(VLOOKUP($C105&amp;","&amp;V3,汇编指令!$C$2:$D$235,2,FALSE),"")</f>
        <v/>
      </c>
      <c r="W105" s="32" t="str">
        <f>_xlfn.IFNA(VLOOKUP($C105&amp;","&amp;W3,汇编指令!$C$2:$D$235,2,FALSE),"")</f>
        <v/>
      </c>
      <c r="X105" s="33" t="str">
        <f>_xlfn.IFNA(VLOOKUP($C105&amp;","&amp;X3,汇编指令!$C$2:$D$235,2,FALSE),"")</f>
        <v>B8</v>
      </c>
      <c r="Y105" s="32" t="str">
        <f>_xlfn.IFNA(VLOOKUP($C105&amp;","&amp;Y3,汇编指令!$C$2:$D$235,2,FALSE),"")</f>
        <v/>
      </c>
      <c r="Z105" s="32" t="str">
        <f>_xlfn.IFNA(VLOOKUP($C105&amp;","&amp;Z3,汇编指令!$C$2:$D$235,2,FALSE),"")</f>
        <v/>
      </c>
      <c r="AA105" s="32" t="str">
        <f>_xlfn.IFNA(VLOOKUP($C105&amp;","&amp;AA3,汇编指令!$C$2:$D$235,2,FALSE),"")</f>
        <v/>
      </c>
      <c r="AB105" s="32" t="str">
        <f>_xlfn.IFNA(VLOOKUP($C105&amp;","&amp;AB3,汇编指令!$C$2:$D$235,2,FALSE),"")</f>
        <v/>
      </c>
    </row>
    <row r="106" ht="20" customHeight="1" spans="1:28">
      <c r="A106" s="16">
        <v>3</v>
      </c>
      <c r="B106" s="21">
        <f t="shared" si="3"/>
        <v>102</v>
      </c>
      <c r="C106" s="36" t="s">
        <v>1021</v>
      </c>
      <c r="D106" s="23" t="str">
        <f t="shared" si="4"/>
        <v>66</v>
      </c>
      <c r="E106" s="34" t="str">
        <f>_xlfn.IFNA(VLOOKUP($C106&amp;","&amp;E3,汇编指令!$C$2:$D$235,2,FALSE),"")</f>
        <v/>
      </c>
      <c r="F106" s="32" t="str">
        <f>_xlfn.IFNA(VLOOKUP($C106&amp;","&amp;F3,汇编指令!$C$2:$D$235,2,FALSE),"")</f>
        <v/>
      </c>
      <c r="G106" s="32" t="str">
        <f>_xlfn.IFNA(VLOOKUP($C106&amp;","&amp;G3,汇编指令!$C$2:$D$235,2,FALSE),"")</f>
        <v/>
      </c>
      <c r="H106" s="32" t="str">
        <f>_xlfn.IFNA(VLOOKUP($C106&amp;","&amp;H3,汇编指令!$C$2:$D$235,2,FALSE),"")</f>
        <v/>
      </c>
      <c r="I106" s="32" t="str">
        <f>_xlfn.IFNA(VLOOKUP($C106&amp;","&amp;I3,汇编指令!$C$2:$D$235,2,FALSE),"")</f>
        <v/>
      </c>
      <c r="J106" s="32" t="str">
        <f>_xlfn.IFNA(VLOOKUP($C106&amp;","&amp;J3,汇编指令!$C$2:$D$235,2,FALSE),"")</f>
        <v/>
      </c>
      <c r="K106" s="32" t="str">
        <f>_xlfn.IFNA(VLOOKUP($C106&amp;","&amp;K3,汇编指令!$C$2:$D$235,2,FALSE),"")</f>
        <v/>
      </c>
      <c r="L106" s="32" t="str">
        <f>_xlfn.IFNA(VLOOKUP($C106&amp;","&amp;L3,汇编指令!$C$2:$D$235,2,FALSE),"")</f>
        <v/>
      </c>
      <c r="M106" s="32" t="str">
        <f>_xlfn.IFNA(VLOOKUP($C106&amp;","&amp;M3,汇编指令!$C$2:$D$235,2,FALSE),"")</f>
        <v/>
      </c>
      <c r="N106" s="32" t="str">
        <f>_xlfn.IFNA(VLOOKUP($C106&amp;","&amp;N3,汇编指令!$C$2:$D$235,2,FALSE),"")</f>
        <v/>
      </c>
      <c r="O106" s="32" t="str">
        <f>_xlfn.IFNA(VLOOKUP($C106&amp;","&amp;O3,汇编指令!$C$2:$D$235,2,FALSE),"")</f>
        <v/>
      </c>
      <c r="P106" s="32" t="str">
        <f>_xlfn.IFNA(VLOOKUP($C106&amp;","&amp;P3,汇编指令!$C$2:$D$235,2,FALSE),"")</f>
        <v/>
      </c>
      <c r="Q106" s="32" t="str">
        <f>_xlfn.IFNA(VLOOKUP($C106&amp;","&amp;Q3,汇编指令!$C$2:$D$235,2,FALSE),"")</f>
        <v/>
      </c>
      <c r="R106" s="32" t="str">
        <f>_xlfn.IFNA(VLOOKUP($C106&amp;","&amp;R3,汇编指令!$C$2:$D$235,2,FALSE),"")</f>
        <v/>
      </c>
      <c r="S106" s="32" t="str">
        <f>_xlfn.IFNA(VLOOKUP($C106&amp;","&amp;S3,汇编指令!$C$2:$D$235,2,FALSE),"")</f>
        <v/>
      </c>
      <c r="T106" s="32" t="str">
        <f>_xlfn.IFNA(VLOOKUP($C106&amp;","&amp;T3,汇编指令!$C$2:$D$235,2,FALSE),"")</f>
        <v/>
      </c>
      <c r="U106" s="32" t="str">
        <f>_xlfn.IFNA(VLOOKUP($C106&amp;","&amp;U3,汇编指令!$C$2:$D$235,2,FALSE),"")</f>
        <v/>
      </c>
      <c r="V106" s="32" t="str">
        <f>_xlfn.IFNA(VLOOKUP($C106&amp;","&amp;V3,汇编指令!$C$2:$D$235,2,FALSE),"")</f>
        <v/>
      </c>
      <c r="W106" s="32" t="str">
        <f>_xlfn.IFNA(VLOOKUP($C106&amp;","&amp;W3,汇编指令!$C$2:$D$235,2,FALSE),"")</f>
        <v/>
      </c>
      <c r="X106" s="33" t="str">
        <f>_xlfn.IFNA(VLOOKUP($C106&amp;","&amp;X3,汇编指令!$C$2:$D$235,2,FALSE),"")</f>
        <v>B9</v>
      </c>
      <c r="Y106" s="32" t="str">
        <f>_xlfn.IFNA(VLOOKUP($C106&amp;","&amp;Y3,汇编指令!$C$2:$D$235,2,FALSE),"")</f>
        <v/>
      </c>
      <c r="Z106" s="32" t="str">
        <f>_xlfn.IFNA(VLOOKUP($C106&amp;","&amp;Z3,汇编指令!$C$2:$D$235,2,FALSE),"")</f>
        <v/>
      </c>
      <c r="AA106" s="32" t="str">
        <f>_xlfn.IFNA(VLOOKUP($C106&amp;","&amp;AA3,汇编指令!$C$2:$D$235,2,FALSE),"")</f>
        <v/>
      </c>
      <c r="AB106" s="32" t="str">
        <f>_xlfn.IFNA(VLOOKUP($C106&amp;","&amp;AB3,汇编指令!$C$2:$D$235,2,FALSE),"")</f>
        <v/>
      </c>
    </row>
    <row r="107" ht="20" customHeight="1" spans="1:28">
      <c r="A107" s="16">
        <v>3</v>
      </c>
      <c r="B107" s="21">
        <f t="shared" si="3"/>
        <v>103</v>
      </c>
      <c r="C107" s="36" t="s">
        <v>1022</v>
      </c>
      <c r="D107" s="23" t="str">
        <f t="shared" si="4"/>
        <v>67</v>
      </c>
      <c r="E107" s="34" t="str">
        <f>_xlfn.IFNA(VLOOKUP($C107&amp;","&amp;E3,汇编指令!$C$2:$D$235,2,FALSE),"")</f>
        <v/>
      </c>
      <c r="F107" s="32" t="str">
        <f>_xlfn.IFNA(VLOOKUP($C107&amp;","&amp;F3,汇编指令!$C$2:$D$235,2,FALSE),"")</f>
        <v/>
      </c>
      <c r="G107" s="32" t="str">
        <f>_xlfn.IFNA(VLOOKUP($C107&amp;","&amp;G3,汇编指令!$C$2:$D$235,2,FALSE),"")</f>
        <v/>
      </c>
      <c r="H107" s="32" t="str">
        <f>_xlfn.IFNA(VLOOKUP($C107&amp;","&amp;H3,汇编指令!$C$2:$D$235,2,FALSE),"")</f>
        <v/>
      </c>
      <c r="I107" s="32" t="str">
        <f>_xlfn.IFNA(VLOOKUP($C107&amp;","&amp;I3,汇编指令!$C$2:$D$235,2,FALSE),"")</f>
        <v/>
      </c>
      <c r="J107" s="32" t="str">
        <f>_xlfn.IFNA(VLOOKUP($C107&amp;","&amp;J3,汇编指令!$C$2:$D$235,2,FALSE),"")</f>
        <v/>
      </c>
      <c r="K107" s="32" t="str">
        <f>_xlfn.IFNA(VLOOKUP($C107&amp;","&amp;K3,汇编指令!$C$2:$D$235,2,FALSE),"")</f>
        <v/>
      </c>
      <c r="L107" s="32" t="str">
        <f>_xlfn.IFNA(VLOOKUP($C107&amp;","&amp;L3,汇编指令!$C$2:$D$235,2,FALSE),"")</f>
        <v/>
      </c>
      <c r="M107" s="32" t="str">
        <f>_xlfn.IFNA(VLOOKUP($C107&amp;","&amp;M3,汇编指令!$C$2:$D$235,2,FALSE),"")</f>
        <v/>
      </c>
      <c r="N107" s="32" t="str">
        <f>_xlfn.IFNA(VLOOKUP($C107&amp;","&amp;N3,汇编指令!$C$2:$D$235,2,FALSE),"")</f>
        <v/>
      </c>
      <c r="O107" s="32" t="str">
        <f>_xlfn.IFNA(VLOOKUP($C107&amp;","&amp;O3,汇编指令!$C$2:$D$235,2,FALSE),"")</f>
        <v/>
      </c>
      <c r="P107" s="32" t="str">
        <f>_xlfn.IFNA(VLOOKUP($C107&amp;","&amp;P3,汇编指令!$C$2:$D$235,2,FALSE),"")</f>
        <v/>
      </c>
      <c r="Q107" s="32" t="str">
        <f>_xlfn.IFNA(VLOOKUP($C107&amp;","&amp;Q3,汇编指令!$C$2:$D$235,2,FALSE),"")</f>
        <v/>
      </c>
      <c r="R107" s="32" t="str">
        <f>_xlfn.IFNA(VLOOKUP($C107&amp;","&amp;R3,汇编指令!$C$2:$D$235,2,FALSE),"")</f>
        <v/>
      </c>
      <c r="S107" s="32" t="str">
        <f>_xlfn.IFNA(VLOOKUP($C107&amp;","&amp;S3,汇编指令!$C$2:$D$235,2,FALSE),"")</f>
        <v/>
      </c>
      <c r="T107" s="32" t="str">
        <f>_xlfn.IFNA(VLOOKUP($C107&amp;","&amp;T3,汇编指令!$C$2:$D$235,2,FALSE),"")</f>
        <v/>
      </c>
      <c r="U107" s="32" t="str">
        <f>_xlfn.IFNA(VLOOKUP($C107&amp;","&amp;U3,汇编指令!$C$2:$D$235,2,FALSE),"")</f>
        <v/>
      </c>
      <c r="V107" s="32" t="str">
        <f>_xlfn.IFNA(VLOOKUP($C107&amp;","&amp;V3,汇编指令!$C$2:$D$235,2,FALSE),"")</f>
        <v/>
      </c>
      <c r="W107" s="32" t="str">
        <f>_xlfn.IFNA(VLOOKUP($C107&amp;","&amp;W3,汇编指令!$C$2:$D$235,2,FALSE),"")</f>
        <v/>
      </c>
      <c r="X107" s="33" t="str">
        <f>_xlfn.IFNA(VLOOKUP($C107&amp;","&amp;X3,汇编指令!$C$2:$D$235,2,FALSE),"")</f>
        <v>BA</v>
      </c>
      <c r="Y107" s="32" t="str">
        <f>_xlfn.IFNA(VLOOKUP($C107&amp;","&amp;Y3,汇编指令!$C$2:$D$235,2,FALSE),"")</f>
        <v/>
      </c>
      <c r="Z107" s="32" t="str">
        <f>_xlfn.IFNA(VLOOKUP($C107&amp;","&amp;Z3,汇编指令!$C$2:$D$235,2,FALSE),"")</f>
        <v/>
      </c>
      <c r="AA107" s="32" t="str">
        <f>_xlfn.IFNA(VLOOKUP($C107&amp;","&amp;AA3,汇编指令!$C$2:$D$235,2,FALSE),"")</f>
        <v/>
      </c>
      <c r="AB107" s="32" t="str">
        <f>_xlfn.IFNA(VLOOKUP($C107&amp;","&amp;AB3,汇编指令!$C$2:$D$235,2,FALSE),"")</f>
        <v/>
      </c>
    </row>
    <row r="108" ht="20" customHeight="1" spans="1:28">
      <c r="A108" s="16">
        <v>3</v>
      </c>
      <c r="B108" s="21">
        <f t="shared" si="3"/>
        <v>104</v>
      </c>
      <c r="C108" s="36" t="s">
        <v>1023</v>
      </c>
      <c r="D108" s="23" t="str">
        <f t="shared" si="4"/>
        <v>68</v>
      </c>
      <c r="E108" s="34" t="str">
        <f>_xlfn.IFNA(VLOOKUP($C108&amp;","&amp;E3,汇编指令!$C$2:$D$235,2,FALSE),"")</f>
        <v/>
      </c>
      <c r="F108" s="32" t="str">
        <f>_xlfn.IFNA(VLOOKUP($C108&amp;","&amp;F3,汇编指令!$C$2:$D$235,2,FALSE),"")</f>
        <v/>
      </c>
      <c r="G108" s="32" t="str">
        <f>_xlfn.IFNA(VLOOKUP($C108&amp;","&amp;G3,汇编指令!$C$2:$D$235,2,FALSE),"")</f>
        <v/>
      </c>
      <c r="H108" s="32" t="str">
        <f>_xlfn.IFNA(VLOOKUP($C108&amp;","&amp;H3,汇编指令!$C$2:$D$235,2,FALSE),"")</f>
        <v/>
      </c>
      <c r="I108" s="32" t="str">
        <f>_xlfn.IFNA(VLOOKUP($C108&amp;","&amp;I3,汇编指令!$C$2:$D$235,2,FALSE),"")</f>
        <v/>
      </c>
      <c r="J108" s="32" t="str">
        <f>_xlfn.IFNA(VLOOKUP($C108&amp;","&amp;J3,汇编指令!$C$2:$D$235,2,FALSE),"")</f>
        <v/>
      </c>
      <c r="K108" s="32" t="str">
        <f>_xlfn.IFNA(VLOOKUP($C108&amp;","&amp;K3,汇编指令!$C$2:$D$235,2,FALSE),"")</f>
        <v/>
      </c>
      <c r="L108" s="32" t="str">
        <f>_xlfn.IFNA(VLOOKUP($C108&amp;","&amp;L3,汇编指令!$C$2:$D$235,2,FALSE),"")</f>
        <v/>
      </c>
      <c r="M108" s="32" t="str">
        <f>_xlfn.IFNA(VLOOKUP($C108&amp;","&amp;M3,汇编指令!$C$2:$D$235,2,FALSE),"")</f>
        <v/>
      </c>
      <c r="N108" s="32" t="str">
        <f>_xlfn.IFNA(VLOOKUP($C108&amp;","&amp;N3,汇编指令!$C$2:$D$235,2,FALSE),"")</f>
        <v/>
      </c>
      <c r="O108" s="32" t="str">
        <f>_xlfn.IFNA(VLOOKUP($C108&amp;","&amp;O3,汇编指令!$C$2:$D$235,2,FALSE),"")</f>
        <v/>
      </c>
      <c r="P108" s="32" t="str">
        <f>_xlfn.IFNA(VLOOKUP($C108&amp;","&amp;P3,汇编指令!$C$2:$D$235,2,FALSE),"")</f>
        <v/>
      </c>
      <c r="Q108" s="32" t="str">
        <f>_xlfn.IFNA(VLOOKUP($C108&amp;","&amp;Q3,汇编指令!$C$2:$D$235,2,FALSE),"")</f>
        <v/>
      </c>
      <c r="R108" s="32" t="str">
        <f>_xlfn.IFNA(VLOOKUP($C108&amp;","&amp;R3,汇编指令!$C$2:$D$235,2,FALSE),"")</f>
        <v/>
      </c>
      <c r="S108" s="32" t="str">
        <f>_xlfn.IFNA(VLOOKUP($C108&amp;","&amp;S3,汇编指令!$C$2:$D$235,2,FALSE),"")</f>
        <v/>
      </c>
      <c r="T108" s="32" t="str">
        <f>_xlfn.IFNA(VLOOKUP($C108&amp;","&amp;T3,汇编指令!$C$2:$D$235,2,FALSE),"")</f>
        <v/>
      </c>
      <c r="U108" s="32" t="str">
        <f>_xlfn.IFNA(VLOOKUP($C108&amp;","&amp;U3,汇编指令!$C$2:$D$235,2,FALSE),"")</f>
        <v/>
      </c>
      <c r="V108" s="32" t="str">
        <f>_xlfn.IFNA(VLOOKUP($C108&amp;","&amp;V3,汇编指令!$C$2:$D$235,2,FALSE),"")</f>
        <v/>
      </c>
      <c r="W108" s="32" t="str">
        <f>_xlfn.IFNA(VLOOKUP($C108&amp;","&amp;W3,汇编指令!$C$2:$D$235,2,FALSE),"")</f>
        <v/>
      </c>
      <c r="X108" s="33" t="str">
        <f>_xlfn.IFNA(VLOOKUP($C108&amp;","&amp;X3,汇编指令!$C$2:$D$235,2,FALSE),"")</f>
        <v>BB</v>
      </c>
      <c r="Y108" s="32" t="str">
        <f>_xlfn.IFNA(VLOOKUP($C108&amp;","&amp;Y3,汇编指令!$C$2:$D$235,2,FALSE),"")</f>
        <v/>
      </c>
      <c r="Z108" s="32" t="str">
        <f>_xlfn.IFNA(VLOOKUP($C108&amp;","&amp;Z3,汇编指令!$C$2:$D$235,2,FALSE),"")</f>
        <v/>
      </c>
      <c r="AA108" s="32" t="str">
        <f>_xlfn.IFNA(VLOOKUP($C108&amp;","&amp;AA3,汇编指令!$C$2:$D$235,2,FALSE),"")</f>
        <v/>
      </c>
      <c r="AB108" s="32" t="str">
        <f>_xlfn.IFNA(VLOOKUP($C108&amp;","&amp;AB3,汇编指令!$C$2:$D$235,2,FALSE),"")</f>
        <v/>
      </c>
    </row>
    <row r="109" ht="20" customHeight="1" spans="1:28">
      <c r="A109" s="16">
        <v>3</v>
      </c>
      <c r="B109" s="21">
        <f t="shared" si="3"/>
        <v>105</v>
      </c>
      <c r="C109" s="36" t="s">
        <v>1024</v>
      </c>
      <c r="D109" s="23" t="str">
        <f t="shared" si="4"/>
        <v>69</v>
      </c>
      <c r="E109" s="34" t="str">
        <f>_xlfn.IFNA(VLOOKUP($C109&amp;","&amp;E3,汇编指令!$C$2:$D$235,2,FALSE),"")</f>
        <v/>
      </c>
      <c r="F109" s="32" t="str">
        <f>_xlfn.IFNA(VLOOKUP($C109&amp;","&amp;F3,汇编指令!$C$2:$D$235,2,FALSE),"")</f>
        <v/>
      </c>
      <c r="G109" s="32" t="str">
        <f>_xlfn.IFNA(VLOOKUP($C109&amp;","&amp;G3,汇编指令!$C$2:$D$235,2,FALSE),"")</f>
        <v/>
      </c>
      <c r="H109" s="32" t="str">
        <f>_xlfn.IFNA(VLOOKUP($C109&amp;","&amp;H3,汇编指令!$C$2:$D$235,2,FALSE),"")</f>
        <v/>
      </c>
      <c r="I109" s="32" t="str">
        <f>_xlfn.IFNA(VLOOKUP($C109&amp;","&amp;I3,汇编指令!$C$2:$D$235,2,FALSE),"")</f>
        <v/>
      </c>
      <c r="J109" s="32" t="str">
        <f>_xlfn.IFNA(VLOOKUP($C109&amp;","&amp;J3,汇编指令!$C$2:$D$235,2,FALSE),"")</f>
        <v/>
      </c>
      <c r="K109" s="32" t="str">
        <f>_xlfn.IFNA(VLOOKUP($C109&amp;","&amp;K3,汇编指令!$C$2:$D$235,2,FALSE),"")</f>
        <v/>
      </c>
      <c r="L109" s="32" t="str">
        <f>_xlfn.IFNA(VLOOKUP($C109&amp;","&amp;L3,汇编指令!$C$2:$D$235,2,FALSE),"")</f>
        <v/>
      </c>
      <c r="M109" s="32" t="str">
        <f>_xlfn.IFNA(VLOOKUP($C109&amp;","&amp;M3,汇编指令!$C$2:$D$235,2,FALSE),"")</f>
        <v/>
      </c>
      <c r="N109" s="32" t="str">
        <f>_xlfn.IFNA(VLOOKUP($C109&amp;","&amp;N3,汇编指令!$C$2:$D$235,2,FALSE),"")</f>
        <v/>
      </c>
      <c r="O109" s="32" t="str">
        <f>_xlfn.IFNA(VLOOKUP($C109&amp;","&amp;O3,汇编指令!$C$2:$D$235,2,FALSE),"")</f>
        <v/>
      </c>
      <c r="P109" s="32" t="str">
        <f>_xlfn.IFNA(VLOOKUP($C109&amp;","&amp;P3,汇编指令!$C$2:$D$235,2,FALSE),"")</f>
        <v/>
      </c>
      <c r="Q109" s="32" t="str">
        <f>_xlfn.IFNA(VLOOKUP($C109&amp;","&amp;Q3,汇编指令!$C$2:$D$235,2,FALSE),"")</f>
        <v/>
      </c>
      <c r="R109" s="32" t="str">
        <f>_xlfn.IFNA(VLOOKUP($C109&amp;","&amp;R3,汇编指令!$C$2:$D$235,2,FALSE),"")</f>
        <v/>
      </c>
      <c r="S109" s="32" t="str">
        <f>_xlfn.IFNA(VLOOKUP($C109&amp;","&amp;S3,汇编指令!$C$2:$D$235,2,FALSE),"")</f>
        <v/>
      </c>
      <c r="T109" s="32" t="str">
        <f>_xlfn.IFNA(VLOOKUP($C109&amp;","&amp;T3,汇编指令!$C$2:$D$235,2,FALSE),"")</f>
        <v/>
      </c>
      <c r="U109" s="32" t="str">
        <f>_xlfn.IFNA(VLOOKUP($C109&amp;","&amp;U3,汇编指令!$C$2:$D$235,2,FALSE),"")</f>
        <v/>
      </c>
      <c r="V109" s="32" t="str">
        <f>_xlfn.IFNA(VLOOKUP($C109&amp;","&amp;V3,汇编指令!$C$2:$D$235,2,FALSE),"")</f>
        <v/>
      </c>
      <c r="W109" s="32" t="str">
        <f>_xlfn.IFNA(VLOOKUP($C109&amp;","&amp;W3,汇编指令!$C$2:$D$235,2,FALSE),"")</f>
        <v/>
      </c>
      <c r="X109" s="33" t="str">
        <f>_xlfn.IFNA(VLOOKUP($C109&amp;","&amp;X3,汇编指令!$C$2:$D$235,2,FALSE),"")</f>
        <v>BC</v>
      </c>
      <c r="Y109" s="32" t="str">
        <f>_xlfn.IFNA(VLOOKUP($C109&amp;","&amp;Y3,汇编指令!$C$2:$D$235,2,FALSE),"")</f>
        <v/>
      </c>
      <c r="Z109" s="32" t="str">
        <f>_xlfn.IFNA(VLOOKUP($C109&amp;","&amp;Z3,汇编指令!$C$2:$D$235,2,FALSE),"")</f>
        <v/>
      </c>
      <c r="AA109" s="32" t="str">
        <f>_xlfn.IFNA(VLOOKUP($C109&amp;","&amp;AA3,汇编指令!$C$2:$D$235,2,FALSE),"")</f>
        <v/>
      </c>
      <c r="AB109" s="32" t="str">
        <f>_xlfn.IFNA(VLOOKUP($C109&amp;","&amp;AB3,汇编指令!$C$2:$D$235,2,FALSE),"")</f>
        <v/>
      </c>
    </row>
    <row r="110" ht="20" customHeight="1" spans="1:28">
      <c r="A110" s="16">
        <v>3</v>
      </c>
      <c r="B110" s="21">
        <f t="shared" si="3"/>
        <v>106</v>
      </c>
      <c r="C110" s="36" t="s">
        <v>1025</v>
      </c>
      <c r="D110" s="23" t="str">
        <f t="shared" si="4"/>
        <v>6A</v>
      </c>
      <c r="E110" s="34" t="str">
        <f>_xlfn.IFNA(VLOOKUP($C110&amp;","&amp;E3,汇编指令!$C$2:$D$235,2,FALSE),"")</f>
        <v/>
      </c>
      <c r="F110" s="32" t="str">
        <f>_xlfn.IFNA(VLOOKUP($C110&amp;","&amp;F3,汇编指令!$C$2:$D$235,2,FALSE),"")</f>
        <v/>
      </c>
      <c r="G110" s="32" t="str">
        <f>_xlfn.IFNA(VLOOKUP($C110&amp;","&amp;G3,汇编指令!$C$2:$D$235,2,FALSE),"")</f>
        <v/>
      </c>
      <c r="H110" s="32" t="str">
        <f>_xlfn.IFNA(VLOOKUP($C110&amp;","&amp;H3,汇编指令!$C$2:$D$235,2,FALSE),"")</f>
        <v/>
      </c>
      <c r="I110" s="32" t="str">
        <f>_xlfn.IFNA(VLOOKUP($C110&amp;","&amp;I3,汇编指令!$C$2:$D$235,2,FALSE),"")</f>
        <v/>
      </c>
      <c r="J110" s="32" t="str">
        <f>_xlfn.IFNA(VLOOKUP($C110&amp;","&amp;J3,汇编指令!$C$2:$D$235,2,FALSE),"")</f>
        <v/>
      </c>
      <c r="K110" s="32" t="str">
        <f>_xlfn.IFNA(VLOOKUP($C110&amp;","&amp;K3,汇编指令!$C$2:$D$235,2,FALSE),"")</f>
        <v/>
      </c>
      <c r="L110" s="32" t="str">
        <f>_xlfn.IFNA(VLOOKUP($C110&amp;","&amp;L3,汇编指令!$C$2:$D$235,2,FALSE),"")</f>
        <v/>
      </c>
      <c r="M110" s="32" t="str">
        <f>_xlfn.IFNA(VLOOKUP($C110&amp;","&amp;M3,汇编指令!$C$2:$D$235,2,FALSE),"")</f>
        <v/>
      </c>
      <c r="N110" s="32" t="str">
        <f>_xlfn.IFNA(VLOOKUP($C110&amp;","&amp;N3,汇编指令!$C$2:$D$235,2,FALSE),"")</f>
        <v/>
      </c>
      <c r="O110" s="32" t="str">
        <f>_xlfn.IFNA(VLOOKUP($C110&amp;","&amp;O3,汇编指令!$C$2:$D$235,2,FALSE),"")</f>
        <v/>
      </c>
      <c r="P110" s="32" t="str">
        <f>_xlfn.IFNA(VLOOKUP($C110&amp;","&amp;P3,汇编指令!$C$2:$D$235,2,FALSE),"")</f>
        <v/>
      </c>
      <c r="Q110" s="32" t="str">
        <f>_xlfn.IFNA(VLOOKUP($C110&amp;","&amp;Q3,汇编指令!$C$2:$D$235,2,FALSE),"")</f>
        <v/>
      </c>
      <c r="R110" s="32" t="str">
        <f>_xlfn.IFNA(VLOOKUP($C110&amp;","&amp;R3,汇编指令!$C$2:$D$235,2,FALSE),"")</f>
        <v/>
      </c>
      <c r="S110" s="32" t="str">
        <f>_xlfn.IFNA(VLOOKUP($C110&amp;","&amp;S3,汇编指令!$C$2:$D$235,2,FALSE),"")</f>
        <v/>
      </c>
      <c r="T110" s="32" t="str">
        <f>_xlfn.IFNA(VLOOKUP($C110&amp;","&amp;T3,汇编指令!$C$2:$D$235,2,FALSE),"")</f>
        <v/>
      </c>
      <c r="U110" s="32" t="str">
        <f>_xlfn.IFNA(VLOOKUP($C110&amp;","&amp;U3,汇编指令!$C$2:$D$235,2,FALSE),"")</f>
        <v/>
      </c>
      <c r="V110" s="32" t="str">
        <f>_xlfn.IFNA(VLOOKUP($C110&amp;","&amp;V3,汇编指令!$C$2:$D$235,2,FALSE),"")</f>
        <v/>
      </c>
      <c r="W110" s="32" t="str">
        <f>_xlfn.IFNA(VLOOKUP($C110&amp;","&amp;W3,汇编指令!$C$2:$D$235,2,FALSE),"")</f>
        <v/>
      </c>
      <c r="X110" s="33" t="str">
        <f>_xlfn.IFNA(VLOOKUP($C110&amp;","&amp;X3,汇编指令!$C$2:$D$235,2,FALSE),"")</f>
        <v>BD</v>
      </c>
      <c r="Y110" s="32" t="str">
        <f>_xlfn.IFNA(VLOOKUP($C110&amp;","&amp;Y3,汇编指令!$C$2:$D$235,2,FALSE),"")</f>
        <v/>
      </c>
      <c r="Z110" s="32" t="str">
        <f>_xlfn.IFNA(VLOOKUP($C110&amp;","&amp;Z3,汇编指令!$C$2:$D$235,2,FALSE),"")</f>
        <v/>
      </c>
      <c r="AA110" s="32" t="str">
        <f>_xlfn.IFNA(VLOOKUP($C110&amp;","&amp;AA3,汇编指令!$C$2:$D$235,2,FALSE),"")</f>
        <v/>
      </c>
      <c r="AB110" s="32" t="str">
        <f>_xlfn.IFNA(VLOOKUP($C110&amp;","&amp;AB3,汇编指令!$C$2:$D$235,2,FALSE),"")</f>
        <v/>
      </c>
    </row>
    <row r="111" ht="20" customHeight="1" spans="1:28">
      <c r="A111" s="16">
        <v>3</v>
      </c>
      <c r="B111" s="21">
        <f t="shared" si="3"/>
        <v>107</v>
      </c>
      <c r="C111" s="36" t="s">
        <v>1026</v>
      </c>
      <c r="D111" s="23" t="str">
        <f t="shared" si="4"/>
        <v>6B</v>
      </c>
      <c r="E111" s="34" t="str">
        <f>_xlfn.IFNA(VLOOKUP($C111&amp;","&amp;E3,汇编指令!$C$2:$D$235,2,FALSE),"")</f>
        <v/>
      </c>
      <c r="F111" s="32" t="str">
        <f>_xlfn.IFNA(VLOOKUP($C111&amp;","&amp;F3,汇编指令!$C$2:$D$235,2,FALSE),"")</f>
        <v/>
      </c>
      <c r="G111" s="32" t="str">
        <f>_xlfn.IFNA(VLOOKUP($C111&amp;","&amp;G3,汇编指令!$C$2:$D$235,2,FALSE),"")</f>
        <v/>
      </c>
      <c r="H111" s="32" t="str">
        <f>_xlfn.IFNA(VLOOKUP($C111&amp;","&amp;H3,汇编指令!$C$2:$D$235,2,FALSE),"")</f>
        <v/>
      </c>
      <c r="I111" s="32" t="str">
        <f>_xlfn.IFNA(VLOOKUP($C111&amp;","&amp;I3,汇编指令!$C$2:$D$235,2,FALSE),"")</f>
        <v/>
      </c>
      <c r="J111" s="32" t="str">
        <f>_xlfn.IFNA(VLOOKUP($C111&amp;","&amp;J3,汇编指令!$C$2:$D$235,2,FALSE),"")</f>
        <v/>
      </c>
      <c r="K111" s="32" t="str">
        <f>_xlfn.IFNA(VLOOKUP($C111&amp;","&amp;K3,汇编指令!$C$2:$D$235,2,FALSE),"")</f>
        <v/>
      </c>
      <c r="L111" s="32" t="str">
        <f>_xlfn.IFNA(VLOOKUP($C111&amp;","&amp;L3,汇编指令!$C$2:$D$235,2,FALSE),"")</f>
        <v/>
      </c>
      <c r="M111" s="32" t="str">
        <f>_xlfn.IFNA(VLOOKUP($C111&amp;","&amp;M3,汇编指令!$C$2:$D$235,2,FALSE),"")</f>
        <v/>
      </c>
      <c r="N111" s="32" t="str">
        <f>_xlfn.IFNA(VLOOKUP($C111&amp;","&amp;N3,汇编指令!$C$2:$D$235,2,FALSE),"")</f>
        <v/>
      </c>
      <c r="O111" s="32" t="str">
        <f>_xlfn.IFNA(VLOOKUP($C111&amp;","&amp;O3,汇编指令!$C$2:$D$235,2,FALSE),"")</f>
        <v/>
      </c>
      <c r="P111" s="32" t="str">
        <f>_xlfn.IFNA(VLOOKUP($C111&amp;","&amp;P3,汇编指令!$C$2:$D$235,2,FALSE),"")</f>
        <v/>
      </c>
      <c r="Q111" s="32" t="str">
        <f>_xlfn.IFNA(VLOOKUP($C111&amp;","&amp;Q3,汇编指令!$C$2:$D$235,2,FALSE),"")</f>
        <v/>
      </c>
      <c r="R111" s="32" t="str">
        <f>_xlfn.IFNA(VLOOKUP($C111&amp;","&amp;R3,汇编指令!$C$2:$D$235,2,FALSE),"")</f>
        <v/>
      </c>
      <c r="S111" s="32" t="str">
        <f>_xlfn.IFNA(VLOOKUP($C111&amp;","&amp;S3,汇编指令!$C$2:$D$235,2,FALSE),"")</f>
        <v/>
      </c>
      <c r="T111" s="32" t="str">
        <f>_xlfn.IFNA(VLOOKUP($C111&amp;","&amp;T3,汇编指令!$C$2:$D$235,2,FALSE),"")</f>
        <v/>
      </c>
      <c r="U111" s="32" t="str">
        <f>_xlfn.IFNA(VLOOKUP($C111&amp;","&amp;U3,汇编指令!$C$2:$D$235,2,FALSE),"")</f>
        <v/>
      </c>
      <c r="V111" s="32" t="str">
        <f>_xlfn.IFNA(VLOOKUP($C111&amp;","&amp;V3,汇编指令!$C$2:$D$235,2,FALSE),"")</f>
        <v/>
      </c>
      <c r="W111" s="32" t="str">
        <f>_xlfn.IFNA(VLOOKUP($C111&amp;","&amp;W3,汇编指令!$C$2:$D$235,2,FALSE),"")</f>
        <v/>
      </c>
      <c r="X111" s="33" t="str">
        <f>_xlfn.IFNA(VLOOKUP($C111&amp;","&amp;X3,汇编指令!$C$2:$D$235,2,FALSE),"")</f>
        <v>BE</v>
      </c>
      <c r="Y111" s="32" t="str">
        <f>_xlfn.IFNA(VLOOKUP($C111&amp;","&amp;Y3,汇编指令!$C$2:$D$235,2,FALSE),"")</f>
        <v/>
      </c>
      <c r="Z111" s="32" t="str">
        <f>_xlfn.IFNA(VLOOKUP($C111&amp;","&amp;Z3,汇编指令!$C$2:$D$235,2,FALSE),"")</f>
        <v/>
      </c>
      <c r="AA111" s="32" t="str">
        <f>_xlfn.IFNA(VLOOKUP($C111&amp;","&amp;AA3,汇编指令!$C$2:$D$235,2,FALSE),"")</f>
        <v/>
      </c>
      <c r="AB111" s="32" t="str">
        <f>_xlfn.IFNA(VLOOKUP($C111&amp;","&amp;AB3,汇编指令!$C$2:$D$235,2,FALSE),"")</f>
        <v/>
      </c>
    </row>
    <row r="112" ht="20" customHeight="1" spans="1:28">
      <c r="A112" s="16">
        <v>3</v>
      </c>
      <c r="B112" s="21">
        <f t="shared" si="3"/>
        <v>108</v>
      </c>
      <c r="C112" s="37" t="s">
        <v>1027</v>
      </c>
      <c r="D112" s="23" t="str">
        <f t="shared" si="4"/>
        <v>6C</v>
      </c>
      <c r="E112" s="38" t="str">
        <f>_xlfn.IFNA(VLOOKUP($C112&amp;","&amp;E3,汇编指令!$C$2:$D$235,2,FALSE),"")</f>
        <v/>
      </c>
      <c r="F112" s="39" t="str">
        <f>_xlfn.IFNA(VLOOKUP($C112&amp;","&amp;F3,汇编指令!$C$2:$D$235,2,FALSE),"")</f>
        <v/>
      </c>
      <c r="G112" s="39" t="str">
        <f>_xlfn.IFNA(VLOOKUP($C112&amp;","&amp;G3,汇编指令!$C$2:$D$235,2,FALSE),"")</f>
        <v/>
      </c>
      <c r="H112" s="39" t="str">
        <f>_xlfn.IFNA(VLOOKUP($C112&amp;","&amp;H3,汇编指令!$C$2:$D$235,2,FALSE),"")</f>
        <v/>
      </c>
      <c r="I112" s="39" t="str">
        <f>_xlfn.IFNA(VLOOKUP($C112&amp;","&amp;I3,汇编指令!$C$2:$D$235,2,FALSE),"")</f>
        <v/>
      </c>
      <c r="J112" s="39" t="str">
        <f>_xlfn.IFNA(VLOOKUP($C112&amp;","&amp;J3,汇编指令!$C$2:$D$235,2,FALSE),"")</f>
        <v/>
      </c>
      <c r="K112" s="39" t="str">
        <f>_xlfn.IFNA(VLOOKUP($C112&amp;","&amp;K3,汇编指令!$C$2:$D$235,2,FALSE),"")</f>
        <v/>
      </c>
      <c r="L112" s="39" t="str">
        <f>_xlfn.IFNA(VLOOKUP($C112&amp;","&amp;L3,汇编指令!$C$2:$D$235,2,FALSE),"")</f>
        <v/>
      </c>
      <c r="M112" s="39" t="str">
        <f>_xlfn.IFNA(VLOOKUP($C112&amp;","&amp;M3,汇编指令!$C$2:$D$235,2,FALSE),"")</f>
        <v/>
      </c>
      <c r="N112" s="39" t="str">
        <f>_xlfn.IFNA(VLOOKUP($C112&amp;","&amp;N3,汇编指令!$C$2:$D$235,2,FALSE),"")</f>
        <v/>
      </c>
      <c r="O112" s="39" t="str">
        <f>_xlfn.IFNA(VLOOKUP($C112&amp;","&amp;O3,汇编指令!$C$2:$D$235,2,FALSE),"")</f>
        <v/>
      </c>
      <c r="P112" s="39" t="str">
        <f>_xlfn.IFNA(VLOOKUP($C112&amp;","&amp;P3,汇编指令!$C$2:$D$235,2,FALSE),"")</f>
        <v/>
      </c>
      <c r="Q112" s="39" t="str">
        <f>_xlfn.IFNA(VLOOKUP($C112&amp;","&amp;Q3,汇编指令!$C$2:$D$235,2,FALSE),"")</f>
        <v/>
      </c>
      <c r="R112" s="39" t="str">
        <f>_xlfn.IFNA(VLOOKUP($C112&amp;","&amp;R3,汇编指令!$C$2:$D$235,2,FALSE),"")</f>
        <v/>
      </c>
      <c r="S112" s="39" t="str">
        <f>_xlfn.IFNA(VLOOKUP($C112&amp;","&amp;S3,汇编指令!$C$2:$D$235,2,FALSE),"")</f>
        <v/>
      </c>
      <c r="T112" s="39" t="str">
        <f>_xlfn.IFNA(VLOOKUP($C112&amp;","&amp;T3,汇编指令!$C$2:$D$235,2,FALSE),"")</f>
        <v/>
      </c>
      <c r="U112" s="39" t="str">
        <f>_xlfn.IFNA(VLOOKUP($C112&amp;","&amp;U3,汇编指令!$C$2:$D$235,2,FALSE),"")</f>
        <v/>
      </c>
      <c r="V112" s="39" t="str">
        <f>_xlfn.IFNA(VLOOKUP($C112&amp;","&amp;V3,汇编指令!$C$2:$D$235,2,FALSE),"")</f>
        <v/>
      </c>
      <c r="W112" s="39" t="str">
        <f>_xlfn.IFNA(VLOOKUP($C112&amp;","&amp;W3,汇编指令!$C$2:$D$235,2,FALSE),"")</f>
        <v/>
      </c>
      <c r="X112" s="40" t="str">
        <f>_xlfn.IFNA(VLOOKUP($C112&amp;","&amp;X3,汇编指令!$C$2:$D$235,2,FALSE),"")</f>
        <v>BF</v>
      </c>
      <c r="Y112" s="39" t="str">
        <f>_xlfn.IFNA(VLOOKUP($C112&amp;","&amp;Y3,汇编指令!$C$2:$D$235,2,FALSE),"")</f>
        <v/>
      </c>
      <c r="Z112" s="39" t="str">
        <f>_xlfn.IFNA(VLOOKUP($C112&amp;","&amp;Z3,汇编指令!$C$2:$D$235,2,FALSE),"")</f>
        <v/>
      </c>
      <c r="AA112" s="32" t="str">
        <f>_xlfn.IFNA(VLOOKUP($C112&amp;","&amp;AA3,汇编指令!$C$2:$D$235,2,FALSE),"")</f>
        <v/>
      </c>
      <c r="AB112" s="32" t="str">
        <f>_xlfn.IFNA(VLOOKUP($C112&amp;","&amp;AB3,汇编指令!$C$2:$D$235,2,FALSE),"")</f>
        <v/>
      </c>
    </row>
  </sheetData>
  <mergeCells count="1">
    <mergeCell ref="A1:Z1"/>
  </mergeCells>
  <conditionalFormatting sqref="C4:C112">
    <cfRule type="duplicateValues" dxfId="0" priority="1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5"/>
  <sheetViews>
    <sheetView topLeftCell="A224" workbookViewId="0">
      <selection activeCell="D2" sqref="D2:E235"/>
    </sheetView>
  </sheetViews>
  <sheetFormatPr defaultColWidth="9.23076923076923" defaultRowHeight="16.8" outlineLevelCol="7"/>
  <cols>
    <col min="2" max="2" width="23.3942307692308" customWidth="1"/>
    <col min="3" max="3" width="23.3942307692308" customWidth="1"/>
    <col min="4" max="4" width="11.8557692307692" style="1" customWidth="1"/>
  </cols>
  <sheetData>
    <row r="1" spans="4:6">
      <c r="D1" t="s">
        <v>97</v>
      </c>
      <c r="E1" t="s">
        <v>1028</v>
      </c>
      <c r="F1" t="s">
        <v>97</v>
      </c>
    </row>
    <row r="2" ht="20" customHeight="1" spans="1:8">
      <c r="A2" s="2" t="s">
        <v>236</v>
      </c>
      <c r="B2" s="3" t="s">
        <v>1029</v>
      </c>
      <c r="C2" s="3" t="s">
        <v>1030</v>
      </c>
      <c r="D2" s="4" t="str">
        <f>DEC2HEX(H2)</f>
        <v>24</v>
      </c>
      <c r="E2" s="5">
        <v>2</v>
      </c>
      <c r="F2" s="2">
        <v>24</v>
      </c>
      <c r="G2">
        <f>HEX2DEC(F2)</f>
        <v>36</v>
      </c>
      <c r="H2">
        <v>36</v>
      </c>
    </row>
    <row r="3" ht="20" customHeight="1" spans="1:8">
      <c r="A3" s="2" t="s">
        <v>233</v>
      </c>
      <c r="B3" s="3" t="s">
        <v>1031</v>
      </c>
      <c r="C3" s="3" t="s">
        <v>1032</v>
      </c>
      <c r="D3" s="4" t="str">
        <f t="shared" ref="D3:D66" si="0">DEC2HEX(H3)</f>
        <v>26</v>
      </c>
      <c r="E3" s="5">
        <v>1</v>
      </c>
      <c r="F3" s="2">
        <v>26</v>
      </c>
      <c r="G3">
        <f t="shared" ref="G3:G66" si="1">HEX2DEC(F3)</f>
        <v>38</v>
      </c>
      <c r="H3">
        <v>38</v>
      </c>
    </row>
    <row r="4" ht="20" customHeight="1" spans="1:8">
      <c r="A4" s="2"/>
      <c r="B4" s="3" t="s">
        <v>1033</v>
      </c>
      <c r="C4" s="3" t="s">
        <v>1034</v>
      </c>
      <c r="D4" s="4" t="str">
        <f t="shared" si="0"/>
        <v>27</v>
      </c>
      <c r="E4" s="5">
        <v>1</v>
      </c>
      <c r="F4" s="2"/>
      <c r="G4">
        <v>38</v>
      </c>
      <c r="H4">
        <v>39</v>
      </c>
    </row>
    <row r="5" ht="20" customHeight="1" spans="1:8">
      <c r="A5" s="2" t="s">
        <v>230</v>
      </c>
      <c r="B5" s="3" t="s">
        <v>1035</v>
      </c>
      <c r="C5" s="3" t="s">
        <v>1036</v>
      </c>
      <c r="D5" s="4" t="str">
        <f t="shared" si="0"/>
        <v>25</v>
      </c>
      <c r="E5" s="5">
        <v>2</v>
      </c>
      <c r="F5" s="2">
        <v>25</v>
      </c>
      <c r="G5">
        <f t="shared" si="1"/>
        <v>37</v>
      </c>
      <c r="H5">
        <v>37</v>
      </c>
    </row>
    <row r="6" ht="20" customHeight="1" spans="1:8">
      <c r="A6" s="2" t="s">
        <v>226</v>
      </c>
      <c r="B6" s="3" t="s">
        <v>1037</v>
      </c>
      <c r="C6" s="3" t="s">
        <v>1038</v>
      </c>
      <c r="D6" s="4" t="str">
        <f t="shared" si="0"/>
        <v>28</v>
      </c>
      <c r="E6" s="5">
        <v>1</v>
      </c>
      <c r="F6" s="2">
        <v>28</v>
      </c>
      <c r="G6">
        <f t="shared" si="1"/>
        <v>40</v>
      </c>
      <c r="H6">
        <v>40</v>
      </c>
    </row>
    <row r="7" ht="20" customHeight="1" spans="1:8">
      <c r="A7" s="2"/>
      <c r="B7" s="3" t="s">
        <v>1039</v>
      </c>
      <c r="C7" s="3" t="s">
        <v>1040</v>
      </c>
      <c r="D7" s="4" t="str">
        <f t="shared" si="0"/>
        <v>29</v>
      </c>
      <c r="E7" s="5">
        <v>1</v>
      </c>
      <c r="F7" s="2"/>
      <c r="G7">
        <f t="shared" si="1"/>
        <v>0</v>
      </c>
      <c r="H7">
        <v>41</v>
      </c>
    </row>
    <row r="8" ht="20" customHeight="1" spans="1:8">
      <c r="A8" s="2"/>
      <c r="B8" s="3" t="s">
        <v>1041</v>
      </c>
      <c r="C8" s="3" t="s">
        <v>1042</v>
      </c>
      <c r="D8" s="4" t="str">
        <f t="shared" si="0"/>
        <v>2A</v>
      </c>
      <c r="E8" s="5">
        <v>1</v>
      </c>
      <c r="F8" s="2"/>
      <c r="G8">
        <f t="shared" si="1"/>
        <v>0</v>
      </c>
      <c r="H8">
        <v>42</v>
      </c>
    </row>
    <row r="9" ht="20" customHeight="1" spans="1:8">
      <c r="A9" s="2"/>
      <c r="B9" s="3" t="s">
        <v>1043</v>
      </c>
      <c r="C9" s="3" t="s">
        <v>1044</v>
      </c>
      <c r="D9" s="4" t="str">
        <f t="shared" si="0"/>
        <v>2B</v>
      </c>
      <c r="E9" s="5">
        <v>1</v>
      </c>
      <c r="F9" s="2"/>
      <c r="G9">
        <f t="shared" si="1"/>
        <v>0</v>
      </c>
      <c r="H9">
        <v>43</v>
      </c>
    </row>
    <row r="10" ht="20" customHeight="1" spans="1:8">
      <c r="A10" s="2"/>
      <c r="B10" s="3" t="s">
        <v>1045</v>
      </c>
      <c r="C10" s="3" t="s">
        <v>1046</v>
      </c>
      <c r="D10" s="4" t="str">
        <f t="shared" si="0"/>
        <v>2C</v>
      </c>
      <c r="E10" s="5">
        <v>1</v>
      </c>
      <c r="F10" s="2"/>
      <c r="G10">
        <f t="shared" si="1"/>
        <v>0</v>
      </c>
      <c r="H10">
        <v>44</v>
      </c>
    </row>
    <row r="11" ht="20" customHeight="1" spans="1:8">
      <c r="A11" s="2"/>
      <c r="B11" s="3" t="s">
        <v>1047</v>
      </c>
      <c r="C11" s="3" t="s">
        <v>1048</v>
      </c>
      <c r="D11" s="4" t="str">
        <f t="shared" si="0"/>
        <v>2D</v>
      </c>
      <c r="E11" s="5">
        <v>1</v>
      </c>
      <c r="F11" s="2"/>
      <c r="G11">
        <f t="shared" si="1"/>
        <v>0</v>
      </c>
      <c r="H11">
        <v>45</v>
      </c>
    </row>
    <row r="12" ht="20" customHeight="1" spans="1:8">
      <c r="A12" s="2"/>
      <c r="B12" s="3" t="s">
        <v>1049</v>
      </c>
      <c r="C12" s="3" t="s">
        <v>1050</v>
      </c>
      <c r="D12" s="4" t="str">
        <f t="shared" si="0"/>
        <v>2E</v>
      </c>
      <c r="E12" s="5">
        <v>1</v>
      </c>
      <c r="F12" s="2"/>
      <c r="G12">
        <f t="shared" si="1"/>
        <v>0</v>
      </c>
      <c r="H12">
        <v>46</v>
      </c>
    </row>
    <row r="13" ht="20" customHeight="1" spans="1:8">
      <c r="A13" s="2"/>
      <c r="B13" s="3" t="s">
        <v>1051</v>
      </c>
      <c r="C13" s="3" t="s">
        <v>1052</v>
      </c>
      <c r="D13" s="4" t="str">
        <f t="shared" si="0"/>
        <v>2F</v>
      </c>
      <c r="E13" s="5">
        <v>1</v>
      </c>
      <c r="F13" s="2"/>
      <c r="G13">
        <f t="shared" si="1"/>
        <v>0</v>
      </c>
      <c r="H13">
        <v>47</v>
      </c>
    </row>
    <row r="14" ht="20" customHeight="1" spans="1:8">
      <c r="A14" s="2" t="s">
        <v>248</v>
      </c>
      <c r="B14" s="3" t="s">
        <v>1053</v>
      </c>
      <c r="C14" s="3" t="s">
        <v>1054</v>
      </c>
      <c r="D14" s="4" t="str">
        <f t="shared" si="0"/>
        <v>34</v>
      </c>
      <c r="E14" s="5">
        <v>2</v>
      </c>
      <c r="F14" s="2">
        <v>34</v>
      </c>
      <c r="G14">
        <f t="shared" si="1"/>
        <v>52</v>
      </c>
      <c r="H14">
        <v>52</v>
      </c>
    </row>
    <row r="15" ht="20" customHeight="1" spans="1:8">
      <c r="A15" s="2" t="s">
        <v>245</v>
      </c>
      <c r="B15" s="3" t="s">
        <v>1055</v>
      </c>
      <c r="C15" s="3" t="s">
        <v>1056</v>
      </c>
      <c r="D15" s="4" t="str">
        <f t="shared" si="0"/>
        <v>36</v>
      </c>
      <c r="E15" s="5">
        <v>1</v>
      </c>
      <c r="F15" s="2">
        <v>36</v>
      </c>
      <c r="G15">
        <f t="shared" si="1"/>
        <v>54</v>
      </c>
      <c r="H15">
        <v>54</v>
      </c>
    </row>
    <row r="16" ht="20" customHeight="1" spans="1:8">
      <c r="A16" s="2"/>
      <c r="B16" s="3" t="s">
        <v>1057</v>
      </c>
      <c r="C16" s="3" t="s">
        <v>1058</v>
      </c>
      <c r="D16" s="4" t="str">
        <f t="shared" si="0"/>
        <v>37</v>
      </c>
      <c r="E16" s="5">
        <v>1</v>
      </c>
      <c r="F16" s="2"/>
      <c r="G16">
        <f t="shared" si="1"/>
        <v>0</v>
      </c>
      <c r="H16">
        <v>55</v>
      </c>
    </row>
    <row r="17" ht="20" customHeight="1" spans="1:8">
      <c r="A17" s="2" t="s">
        <v>242</v>
      </c>
      <c r="B17" s="3" t="s">
        <v>1059</v>
      </c>
      <c r="C17" s="3" t="s">
        <v>1060</v>
      </c>
      <c r="D17" s="4" t="str">
        <f t="shared" si="0"/>
        <v>35</v>
      </c>
      <c r="E17" s="5">
        <v>2</v>
      </c>
      <c r="F17" s="2">
        <v>35</v>
      </c>
      <c r="G17">
        <f t="shared" si="1"/>
        <v>53</v>
      </c>
      <c r="H17">
        <v>53</v>
      </c>
    </row>
    <row r="18" ht="20" customHeight="1" spans="1:8">
      <c r="A18" s="2" t="s">
        <v>239</v>
      </c>
      <c r="B18" s="3" t="s">
        <v>1061</v>
      </c>
      <c r="C18" s="3" t="s">
        <v>1062</v>
      </c>
      <c r="D18" s="4" t="str">
        <f t="shared" si="0"/>
        <v>38</v>
      </c>
      <c r="E18" s="5">
        <v>1</v>
      </c>
      <c r="F18" s="2">
        <v>38</v>
      </c>
      <c r="G18">
        <f t="shared" si="1"/>
        <v>56</v>
      </c>
      <c r="H18">
        <v>56</v>
      </c>
    </row>
    <row r="19" ht="20" customHeight="1" spans="1:8">
      <c r="A19" s="2"/>
      <c r="B19" s="3" t="s">
        <v>1063</v>
      </c>
      <c r="C19" s="3" t="s">
        <v>1064</v>
      </c>
      <c r="D19" s="4" t="str">
        <f t="shared" si="0"/>
        <v>39</v>
      </c>
      <c r="E19" s="5">
        <v>1</v>
      </c>
      <c r="F19" s="2"/>
      <c r="G19">
        <f t="shared" si="1"/>
        <v>0</v>
      </c>
      <c r="H19">
        <v>57</v>
      </c>
    </row>
    <row r="20" ht="20" customHeight="1" spans="1:8">
      <c r="A20" s="2"/>
      <c r="B20" s="3" t="s">
        <v>1065</v>
      </c>
      <c r="C20" s="3" t="s">
        <v>1066</v>
      </c>
      <c r="D20" s="4" t="str">
        <f t="shared" si="0"/>
        <v>3A</v>
      </c>
      <c r="E20" s="5">
        <v>1</v>
      </c>
      <c r="F20" s="2"/>
      <c r="G20">
        <f t="shared" si="1"/>
        <v>0</v>
      </c>
      <c r="H20">
        <v>58</v>
      </c>
    </row>
    <row r="21" ht="20" customHeight="1" spans="1:8">
      <c r="A21" s="2"/>
      <c r="B21" s="3" t="s">
        <v>1067</v>
      </c>
      <c r="C21" s="3" t="s">
        <v>1068</v>
      </c>
      <c r="D21" s="4" t="str">
        <f t="shared" si="0"/>
        <v>3B</v>
      </c>
      <c r="E21" s="5">
        <v>1</v>
      </c>
      <c r="F21" s="2"/>
      <c r="G21">
        <f t="shared" si="1"/>
        <v>0</v>
      </c>
      <c r="H21">
        <v>59</v>
      </c>
    </row>
    <row r="22" ht="20" customHeight="1" spans="1:8">
      <c r="A22" s="2"/>
      <c r="B22" s="3" t="s">
        <v>1069</v>
      </c>
      <c r="C22" s="3" t="s">
        <v>1070</v>
      </c>
      <c r="D22" s="4" t="str">
        <f t="shared" si="0"/>
        <v>3C</v>
      </c>
      <c r="E22" s="5">
        <v>1</v>
      </c>
      <c r="F22" s="2"/>
      <c r="G22">
        <f t="shared" si="1"/>
        <v>0</v>
      </c>
      <c r="H22">
        <v>60</v>
      </c>
    </row>
    <row r="23" ht="20" customHeight="1" spans="1:8">
      <c r="A23" s="2"/>
      <c r="B23" s="3" t="s">
        <v>1071</v>
      </c>
      <c r="C23" s="3" t="s">
        <v>1072</v>
      </c>
      <c r="D23" s="4" t="str">
        <f t="shared" si="0"/>
        <v>3D</v>
      </c>
      <c r="E23" s="5">
        <v>1</v>
      </c>
      <c r="F23" s="2"/>
      <c r="G23">
        <f t="shared" si="1"/>
        <v>0</v>
      </c>
      <c r="H23">
        <v>61</v>
      </c>
    </row>
    <row r="24" ht="20" customHeight="1" spans="1:8">
      <c r="A24" s="2"/>
      <c r="B24" s="3" t="s">
        <v>1073</v>
      </c>
      <c r="C24" s="3" t="s">
        <v>1074</v>
      </c>
      <c r="D24" s="4" t="str">
        <f t="shared" si="0"/>
        <v>3E</v>
      </c>
      <c r="E24" s="5">
        <v>1</v>
      </c>
      <c r="F24" s="2"/>
      <c r="G24">
        <f t="shared" si="1"/>
        <v>0</v>
      </c>
      <c r="H24">
        <v>62</v>
      </c>
    </row>
    <row r="25" ht="20" customHeight="1" spans="1:8">
      <c r="A25" s="2"/>
      <c r="B25" s="3" t="s">
        <v>1075</v>
      </c>
      <c r="C25" s="3" t="s">
        <v>1076</v>
      </c>
      <c r="D25" s="4" t="str">
        <f t="shared" si="0"/>
        <v>3F</v>
      </c>
      <c r="E25" s="5">
        <v>1</v>
      </c>
      <c r="F25" s="2"/>
      <c r="G25">
        <f t="shared" si="1"/>
        <v>0</v>
      </c>
      <c r="H25">
        <v>63</v>
      </c>
    </row>
    <row r="26" ht="20" customHeight="1" spans="1:8">
      <c r="A26" s="2" t="s">
        <v>313</v>
      </c>
      <c r="B26" s="3" t="s">
        <v>1077</v>
      </c>
      <c r="C26" s="3" t="s">
        <v>1078</v>
      </c>
      <c r="D26" s="4" t="str">
        <f t="shared" si="0"/>
        <v>54</v>
      </c>
      <c r="E26" s="5">
        <v>2</v>
      </c>
      <c r="F26" s="2">
        <v>54</v>
      </c>
      <c r="G26">
        <f t="shared" si="1"/>
        <v>84</v>
      </c>
      <c r="H26">
        <v>84</v>
      </c>
    </row>
    <row r="27" ht="20" customHeight="1" spans="1:8">
      <c r="A27" s="2" t="s">
        <v>310</v>
      </c>
      <c r="B27" s="3" t="s">
        <v>1079</v>
      </c>
      <c r="C27" s="3" t="s">
        <v>1080</v>
      </c>
      <c r="D27" s="4" t="str">
        <f t="shared" si="0"/>
        <v>56</v>
      </c>
      <c r="E27" s="5">
        <v>1</v>
      </c>
      <c r="F27" s="2">
        <v>56</v>
      </c>
      <c r="G27">
        <f t="shared" si="1"/>
        <v>86</v>
      </c>
      <c r="H27">
        <v>86</v>
      </c>
    </row>
    <row r="28" ht="20" customHeight="1" spans="1:8">
      <c r="A28" s="2"/>
      <c r="B28" s="3" t="s">
        <v>1081</v>
      </c>
      <c r="C28" s="3" t="s">
        <v>1082</v>
      </c>
      <c r="D28" s="4" t="str">
        <f t="shared" si="0"/>
        <v>57</v>
      </c>
      <c r="E28" s="5">
        <v>1</v>
      </c>
      <c r="F28" s="2"/>
      <c r="G28">
        <f t="shared" si="1"/>
        <v>0</v>
      </c>
      <c r="H28">
        <v>87</v>
      </c>
    </row>
    <row r="29" ht="20" customHeight="1" spans="1:8">
      <c r="A29" s="2" t="s">
        <v>307</v>
      </c>
      <c r="B29" s="3" t="s">
        <v>1083</v>
      </c>
      <c r="C29" s="3" t="s">
        <v>1084</v>
      </c>
      <c r="D29" s="4" t="str">
        <f t="shared" si="0"/>
        <v>55</v>
      </c>
      <c r="E29" s="5">
        <v>2</v>
      </c>
      <c r="F29" s="2">
        <v>55</v>
      </c>
      <c r="G29">
        <f t="shared" si="1"/>
        <v>85</v>
      </c>
      <c r="H29">
        <v>85</v>
      </c>
    </row>
    <row r="30" ht="20" customHeight="1" spans="1:8">
      <c r="A30" s="2" t="s">
        <v>304</v>
      </c>
      <c r="B30" s="3" t="s">
        <v>1085</v>
      </c>
      <c r="C30" s="3" t="s">
        <v>1086</v>
      </c>
      <c r="D30" s="4" t="str">
        <f t="shared" si="0"/>
        <v>58</v>
      </c>
      <c r="E30" s="5">
        <v>1</v>
      </c>
      <c r="F30" s="2">
        <v>58</v>
      </c>
      <c r="G30">
        <f t="shared" si="1"/>
        <v>88</v>
      </c>
      <c r="H30">
        <v>88</v>
      </c>
    </row>
    <row r="31" ht="20" customHeight="1" spans="1:8">
      <c r="A31" s="2"/>
      <c r="B31" s="3" t="s">
        <v>1087</v>
      </c>
      <c r="C31" s="3" t="s">
        <v>1088</v>
      </c>
      <c r="D31" s="4" t="str">
        <f t="shared" si="0"/>
        <v>59</v>
      </c>
      <c r="E31" s="5">
        <v>1</v>
      </c>
      <c r="F31" s="2"/>
      <c r="G31">
        <f t="shared" si="1"/>
        <v>0</v>
      </c>
      <c r="H31">
        <v>89</v>
      </c>
    </row>
    <row r="32" ht="20" customHeight="1" spans="1:8">
      <c r="A32" s="2"/>
      <c r="B32" s="3" t="s">
        <v>1089</v>
      </c>
      <c r="C32" s="3" t="s">
        <v>1090</v>
      </c>
      <c r="D32" s="4" t="str">
        <f t="shared" si="0"/>
        <v>5A</v>
      </c>
      <c r="E32" s="5">
        <v>1</v>
      </c>
      <c r="F32" s="2"/>
      <c r="G32">
        <f t="shared" si="1"/>
        <v>0</v>
      </c>
      <c r="H32">
        <v>90</v>
      </c>
    </row>
    <row r="33" ht="20" customHeight="1" spans="1:8">
      <c r="A33" s="2"/>
      <c r="B33" s="3" t="s">
        <v>1091</v>
      </c>
      <c r="C33" s="3" t="s">
        <v>1092</v>
      </c>
      <c r="D33" s="4" t="str">
        <f t="shared" si="0"/>
        <v>5B</v>
      </c>
      <c r="E33" s="5">
        <v>1</v>
      </c>
      <c r="F33" s="2"/>
      <c r="G33">
        <f t="shared" si="1"/>
        <v>0</v>
      </c>
      <c r="H33">
        <v>91</v>
      </c>
    </row>
    <row r="34" ht="20" customHeight="1" spans="1:8">
      <c r="A34" s="2"/>
      <c r="B34" s="3" t="s">
        <v>1093</v>
      </c>
      <c r="C34" s="3" t="s">
        <v>1094</v>
      </c>
      <c r="D34" s="4" t="str">
        <f t="shared" si="0"/>
        <v>5C</v>
      </c>
      <c r="E34" s="5">
        <v>1</v>
      </c>
      <c r="F34" s="2"/>
      <c r="G34">
        <f t="shared" si="1"/>
        <v>0</v>
      </c>
      <c r="H34">
        <v>92</v>
      </c>
    </row>
    <row r="35" ht="20" customHeight="1" spans="1:8">
      <c r="A35" s="2"/>
      <c r="B35" s="3" t="s">
        <v>1095</v>
      </c>
      <c r="C35" s="3" t="s">
        <v>1096</v>
      </c>
      <c r="D35" s="4" t="str">
        <f t="shared" si="0"/>
        <v>5D</v>
      </c>
      <c r="E35" s="5">
        <v>1</v>
      </c>
      <c r="F35" s="2"/>
      <c r="G35">
        <f t="shared" si="1"/>
        <v>0</v>
      </c>
      <c r="H35">
        <v>93</v>
      </c>
    </row>
    <row r="36" ht="20" customHeight="1" spans="1:8">
      <c r="A36" s="2"/>
      <c r="B36" s="3" t="s">
        <v>1097</v>
      </c>
      <c r="C36" s="3" t="s">
        <v>1098</v>
      </c>
      <c r="D36" s="4" t="str">
        <f t="shared" si="0"/>
        <v>5E</v>
      </c>
      <c r="E36" s="5">
        <v>1</v>
      </c>
      <c r="F36" s="2"/>
      <c r="G36">
        <f t="shared" si="1"/>
        <v>0</v>
      </c>
      <c r="H36">
        <v>94</v>
      </c>
    </row>
    <row r="37" ht="20" customHeight="1" spans="1:8">
      <c r="A37" s="2"/>
      <c r="B37" s="3" t="s">
        <v>1099</v>
      </c>
      <c r="C37" s="3" t="s">
        <v>1100</v>
      </c>
      <c r="D37" s="4" t="str">
        <f t="shared" si="0"/>
        <v>5F</v>
      </c>
      <c r="E37" s="5">
        <v>1</v>
      </c>
      <c r="F37" s="2"/>
      <c r="G37">
        <f t="shared" si="1"/>
        <v>0</v>
      </c>
      <c r="H37">
        <v>95</v>
      </c>
    </row>
    <row r="38" ht="20" customHeight="1" spans="1:8">
      <c r="A38" s="2" t="s">
        <v>440</v>
      </c>
      <c r="B38" s="3" t="s">
        <v>1101</v>
      </c>
      <c r="C38" s="3" t="s">
        <v>1102</v>
      </c>
      <c r="D38" s="4" t="str">
        <f t="shared" si="0"/>
        <v>B0</v>
      </c>
      <c r="E38" s="5">
        <v>2</v>
      </c>
      <c r="F38" s="2" t="s">
        <v>1103</v>
      </c>
      <c r="G38">
        <f t="shared" si="1"/>
        <v>176</v>
      </c>
      <c r="H38">
        <v>176</v>
      </c>
    </row>
    <row r="39" ht="20" customHeight="1" spans="1:8">
      <c r="A39" s="2" t="s">
        <v>437</v>
      </c>
      <c r="B39" s="3" t="s">
        <v>1104</v>
      </c>
      <c r="C39" s="3" t="s">
        <v>1105</v>
      </c>
      <c r="D39" s="4" t="str">
        <f t="shared" si="0"/>
        <v>82</v>
      </c>
      <c r="E39" s="5">
        <v>2</v>
      </c>
      <c r="F39" s="2">
        <v>82</v>
      </c>
      <c r="G39">
        <f t="shared" si="1"/>
        <v>130</v>
      </c>
      <c r="H39">
        <v>130</v>
      </c>
    </row>
    <row r="40" ht="20" customHeight="1" spans="1:8">
      <c r="A40" s="2" t="s">
        <v>360</v>
      </c>
      <c r="B40" s="3" t="s">
        <v>1106</v>
      </c>
      <c r="C40" s="3" t="s">
        <v>1107</v>
      </c>
      <c r="D40" s="4" t="str">
        <f t="shared" si="0"/>
        <v>52</v>
      </c>
      <c r="E40" s="5">
        <v>3</v>
      </c>
      <c r="F40" s="2">
        <v>52</v>
      </c>
      <c r="G40">
        <f t="shared" si="1"/>
        <v>82</v>
      </c>
      <c r="H40">
        <v>82</v>
      </c>
    </row>
    <row r="41" ht="20" customHeight="1" spans="1:8">
      <c r="A41" s="2" t="s">
        <v>418</v>
      </c>
      <c r="B41" s="3" t="s">
        <v>1108</v>
      </c>
      <c r="C41" s="3" t="s">
        <v>1109</v>
      </c>
      <c r="D41" s="4" t="str">
        <f t="shared" si="0"/>
        <v>B6</v>
      </c>
      <c r="E41" s="5">
        <v>3</v>
      </c>
      <c r="F41" s="2" t="s">
        <v>1110</v>
      </c>
      <c r="G41">
        <f t="shared" si="1"/>
        <v>182</v>
      </c>
      <c r="H41">
        <v>182</v>
      </c>
    </row>
    <row r="42" ht="20" customHeight="1" spans="1:8">
      <c r="A42" s="2"/>
      <c r="B42" s="3" t="s">
        <v>1111</v>
      </c>
      <c r="C42" s="3" t="s">
        <v>1112</v>
      </c>
      <c r="D42" s="4" t="str">
        <f t="shared" si="0"/>
        <v>B7</v>
      </c>
      <c r="E42" s="5">
        <v>3</v>
      </c>
      <c r="F42" s="2"/>
      <c r="G42">
        <f t="shared" si="1"/>
        <v>0</v>
      </c>
      <c r="H42">
        <v>183</v>
      </c>
    </row>
    <row r="43" ht="20" customHeight="1" spans="1:8">
      <c r="A43" s="2" t="s">
        <v>414</v>
      </c>
      <c r="B43" s="3" t="s">
        <v>1113</v>
      </c>
      <c r="C43" s="3" t="s">
        <v>1114</v>
      </c>
      <c r="D43" s="4" t="str">
        <f t="shared" si="0"/>
        <v>B4</v>
      </c>
      <c r="E43" s="5">
        <v>3</v>
      </c>
      <c r="F43" s="2" t="s">
        <v>1115</v>
      </c>
      <c r="G43">
        <f t="shared" si="1"/>
        <v>180</v>
      </c>
      <c r="H43">
        <v>180</v>
      </c>
    </row>
    <row r="44" ht="20" customHeight="1" spans="1:8">
      <c r="A44" s="2" t="s">
        <v>411</v>
      </c>
      <c r="B44" s="3" t="s">
        <v>1116</v>
      </c>
      <c r="C44" s="3" t="s">
        <v>1117</v>
      </c>
      <c r="D44" s="4" t="str">
        <f t="shared" si="0"/>
        <v>B5</v>
      </c>
      <c r="E44" s="5">
        <v>3</v>
      </c>
      <c r="F44" s="2" t="s">
        <v>1118</v>
      </c>
      <c r="G44">
        <f t="shared" si="1"/>
        <v>181</v>
      </c>
      <c r="H44">
        <v>181</v>
      </c>
    </row>
    <row r="45" ht="20" customHeight="1" spans="1:8">
      <c r="A45" s="2" t="s">
        <v>416</v>
      </c>
      <c r="B45" s="3" t="s">
        <v>1119</v>
      </c>
      <c r="C45" s="3" t="s">
        <v>1120</v>
      </c>
      <c r="D45" s="4" t="str">
        <f t="shared" si="0"/>
        <v>B8</v>
      </c>
      <c r="E45" s="5">
        <v>3</v>
      </c>
      <c r="F45" s="2" t="s">
        <v>1121</v>
      </c>
      <c r="G45">
        <f t="shared" si="1"/>
        <v>184</v>
      </c>
      <c r="H45">
        <v>184</v>
      </c>
    </row>
    <row r="46" ht="20" customHeight="1" spans="1:8">
      <c r="A46" s="2"/>
      <c r="B46" s="3" t="s">
        <v>1122</v>
      </c>
      <c r="C46" s="3" t="s">
        <v>1123</v>
      </c>
      <c r="D46" s="4" t="str">
        <f t="shared" si="0"/>
        <v>B9</v>
      </c>
      <c r="E46" s="5">
        <v>3</v>
      </c>
      <c r="F46" s="2"/>
      <c r="G46">
        <f t="shared" si="1"/>
        <v>0</v>
      </c>
      <c r="H46">
        <v>185</v>
      </c>
    </row>
    <row r="47" ht="20" customHeight="1" spans="1:8">
      <c r="A47" s="2"/>
      <c r="B47" s="3" t="s">
        <v>1124</v>
      </c>
      <c r="C47" s="3" t="s">
        <v>1125</v>
      </c>
      <c r="D47" s="4" t="str">
        <f t="shared" si="0"/>
        <v>BA</v>
      </c>
      <c r="E47" s="5">
        <v>3</v>
      </c>
      <c r="F47" s="2"/>
      <c r="G47">
        <f t="shared" si="1"/>
        <v>0</v>
      </c>
      <c r="H47">
        <v>186</v>
      </c>
    </row>
    <row r="48" ht="20" customHeight="1" spans="1:8">
      <c r="A48" s="2"/>
      <c r="B48" s="3" t="s">
        <v>1126</v>
      </c>
      <c r="C48" s="3" t="s">
        <v>1127</v>
      </c>
      <c r="D48" s="4" t="str">
        <f t="shared" si="0"/>
        <v>BB</v>
      </c>
      <c r="E48" s="5">
        <v>3</v>
      </c>
      <c r="F48" s="2"/>
      <c r="G48">
        <f t="shared" si="1"/>
        <v>0</v>
      </c>
      <c r="H48">
        <v>187</v>
      </c>
    </row>
    <row r="49" ht="20" customHeight="1" spans="1:8">
      <c r="A49" s="2"/>
      <c r="B49" s="3" t="s">
        <v>1128</v>
      </c>
      <c r="C49" s="3" t="s">
        <v>1129</v>
      </c>
      <c r="D49" s="4" t="str">
        <f t="shared" si="0"/>
        <v>BC</v>
      </c>
      <c r="E49" s="5">
        <v>3</v>
      </c>
      <c r="F49" s="2"/>
      <c r="G49">
        <f t="shared" si="1"/>
        <v>0</v>
      </c>
      <c r="H49">
        <v>188</v>
      </c>
    </row>
    <row r="50" ht="20" customHeight="1" spans="1:8">
      <c r="A50" s="2"/>
      <c r="B50" s="3" t="s">
        <v>1130</v>
      </c>
      <c r="C50" s="3" t="s">
        <v>1131</v>
      </c>
      <c r="D50" s="4" t="str">
        <f t="shared" si="0"/>
        <v>BD</v>
      </c>
      <c r="E50" s="5">
        <v>3</v>
      </c>
      <c r="F50" s="2"/>
      <c r="G50">
        <f t="shared" si="1"/>
        <v>0</v>
      </c>
      <c r="H50">
        <v>189</v>
      </c>
    </row>
    <row r="51" ht="20" customHeight="1" spans="1:8">
      <c r="A51" s="2"/>
      <c r="B51" s="3" t="s">
        <v>1132</v>
      </c>
      <c r="C51" s="3" t="s">
        <v>1133</v>
      </c>
      <c r="D51" s="4" t="str">
        <f t="shared" si="0"/>
        <v>BE</v>
      </c>
      <c r="E51" s="5">
        <v>3</v>
      </c>
      <c r="F51" s="2"/>
      <c r="G51">
        <f t="shared" si="1"/>
        <v>0</v>
      </c>
      <c r="H51">
        <v>190</v>
      </c>
    </row>
    <row r="52" ht="20" customHeight="1" spans="1:8">
      <c r="A52" s="2"/>
      <c r="B52" s="3" t="s">
        <v>1134</v>
      </c>
      <c r="C52" s="3" t="s">
        <v>1135</v>
      </c>
      <c r="D52" s="4" t="str">
        <f t="shared" si="0"/>
        <v>BF</v>
      </c>
      <c r="E52" s="5">
        <v>3</v>
      </c>
      <c r="F52" s="2"/>
      <c r="G52">
        <f t="shared" si="1"/>
        <v>0</v>
      </c>
      <c r="H52">
        <v>191</v>
      </c>
    </row>
    <row r="53" ht="20" customHeight="1" spans="1:8">
      <c r="A53" s="2" t="s">
        <v>341</v>
      </c>
      <c r="B53" s="3" t="s">
        <v>1136</v>
      </c>
      <c r="C53" s="3" t="s">
        <v>1137</v>
      </c>
      <c r="D53" s="4" t="str">
        <f t="shared" si="0"/>
        <v>E4</v>
      </c>
      <c r="E53" s="5">
        <v>1</v>
      </c>
      <c r="F53" s="2" t="s">
        <v>1138</v>
      </c>
      <c r="G53">
        <f t="shared" si="1"/>
        <v>228</v>
      </c>
      <c r="H53">
        <v>228</v>
      </c>
    </row>
    <row r="54" ht="20" customHeight="1" spans="1:8">
      <c r="A54" s="2" t="s">
        <v>453</v>
      </c>
      <c r="B54" s="3" t="s">
        <v>1139</v>
      </c>
      <c r="C54" s="3" t="s">
        <v>1140</v>
      </c>
      <c r="D54" s="4" t="str">
        <f t="shared" si="0"/>
        <v>C2</v>
      </c>
      <c r="E54" s="5">
        <v>2</v>
      </c>
      <c r="F54" s="2" t="s">
        <v>1141</v>
      </c>
      <c r="G54">
        <f t="shared" si="1"/>
        <v>194</v>
      </c>
      <c r="H54">
        <v>194</v>
      </c>
    </row>
    <row r="55" ht="20" customHeight="1" spans="1:8">
      <c r="A55" s="2" t="s">
        <v>450</v>
      </c>
      <c r="B55" s="3" t="s">
        <v>1142</v>
      </c>
      <c r="C55" s="3" t="s">
        <v>1143</v>
      </c>
      <c r="D55" s="4" t="str">
        <f t="shared" si="0"/>
        <v>C3</v>
      </c>
      <c r="E55" s="5">
        <v>1</v>
      </c>
      <c r="F55" s="2" t="s">
        <v>1144</v>
      </c>
      <c r="G55">
        <f t="shared" si="1"/>
        <v>195</v>
      </c>
      <c r="H55">
        <v>195</v>
      </c>
    </row>
    <row r="56" ht="20" customHeight="1" spans="1:8">
      <c r="A56" s="2" t="s">
        <v>344</v>
      </c>
      <c r="B56" s="3" t="s">
        <v>1145</v>
      </c>
      <c r="C56" s="3" t="s">
        <v>1146</v>
      </c>
      <c r="D56" s="4" t="str">
        <f t="shared" si="0"/>
        <v>F4</v>
      </c>
      <c r="E56" s="5">
        <v>1</v>
      </c>
      <c r="F56" s="2" t="s">
        <v>1147</v>
      </c>
      <c r="G56">
        <f t="shared" si="1"/>
        <v>244</v>
      </c>
      <c r="H56">
        <v>244</v>
      </c>
    </row>
    <row r="57" ht="20" customHeight="1" spans="1:8">
      <c r="A57" s="2" t="s">
        <v>369</v>
      </c>
      <c r="B57" s="3" t="s">
        <v>1148</v>
      </c>
      <c r="C57" s="3" t="s">
        <v>1149</v>
      </c>
      <c r="D57" s="4" t="str">
        <f t="shared" si="0"/>
        <v>B2</v>
      </c>
      <c r="E57" s="5">
        <v>2</v>
      </c>
      <c r="F57" s="2" t="s">
        <v>1150</v>
      </c>
      <c r="G57">
        <f t="shared" si="1"/>
        <v>178</v>
      </c>
      <c r="H57">
        <v>178</v>
      </c>
    </row>
    <row r="58" ht="20" customHeight="1" spans="1:8">
      <c r="A58" s="2" t="s">
        <v>298</v>
      </c>
      <c r="B58" s="3" t="s">
        <v>1151</v>
      </c>
      <c r="C58" s="3" t="s">
        <v>1152</v>
      </c>
      <c r="D58" s="4" t="str">
        <f t="shared" si="0"/>
        <v>D4</v>
      </c>
      <c r="E58" s="5">
        <v>1</v>
      </c>
      <c r="F58" s="2" t="s">
        <v>1153</v>
      </c>
      <c r="G58">
        <f t="shared" si="1"/>
        <v>212</v>
      </c>
      <c r="H58">
        <v>212</v>
      </c>
    </row>
    <row r="59" ht="20" customHeight="1" spans="1:8">
      <c r="A59" s="2" t="s">
        <v>287</v>
      </c>
      <c r="B59" s="3" t="s">
        <v>1154</v>
      </c>
      <c r="C59" s="3" t="s">
        <v>1155</v>
      </c>
      <c r="D59" s="4" t="str">
        <f t="shared" si="0"/>
        <v>16</v>
      </c>
      <c r="E59" s="5">
        <v>1</v>
      </c>
      <c r="F59" s="2">
        <v>16</v>
      </c>
      <c r="G59">
        <f t="shared" si="1"/>
        <v>22</v>
      </c>
      <c r="H59">
        <v>22</v>
      </c>
    </row>
    <row r="60" ht="20" customHeight="1" spans="1:8">
      <c r="A60" s="2"/>
      <c r="B60" s="3" t="s">
        <v>1156</v>
      </c>
      <c r="C60" s="3" t="s">
        <v>1157</v>
      </c>
      <c r="D60" s="4" t="str">
        <f t="shared" si="0"/>
        <v>17</v>
      </c>
      <c r="E60" s="5">
        <v>1</v>
      </c>
      <c r="F60" s="2"/>
      <c r="G60">
        <f t="shared" si="1"/>
        <v>0</v>
      </c>
      <c r="H60">
        <v>23</v>
      </c>
    </row>
    <row r="61" ht="20" customHeight="1" spans="1:8">
      <c r="A61" s="2">
        <v>14</v>
      </c>
      <c r="B61" s="3" t="s">
        <v>1158</v>
      </c>
      <c r="C61" s="3" t="s">
        <v>1159</v>
      </c>
      <c r="D61" s="4" t="str">
        <f t="shared" si="0"/>
        <v>14</v>
      </c>
      <c r="E61" s="5">
        <v>1</v>
      </c>
      <c r="F61" s="2">
        <v>14</v>
      </c>
      <c r="G61">
        <f t="shared" si="1"/>
        <v>20</v>
      </c>
      <c r="H61">
        <v>20</v>
      </c>
    </row>
    <row r="62" ht="20" customHeight="1" spans="1:8">
      <c r="A62" s="2" t="s">
        <v>284</v>
      </c>
      <c r="B62" s="3" t="s">
        <v>1160</v>
      </c>
      <c r="C62" s="3" t="s">
        <v>1161</v>
      </c>
      <c r="D62" s="4" t="str">
        <f t="shared" si="0"/>
        <v>15</v>
      </c>
      <c r="E62" s="5">
        <v>2</v>
      </c>
      <c r="F62" s="2">
        <v>15</v>
      </c>
      <c r="G62">
        <f t="shared" si="1"/>
        <v>21</v>
      </c>
      <c r="H62">
        <v>21</v>
      </c>
    </row>
    <row r="63" ht="20" customHeight="1" spans="1:8">
      <c r="A63" s="2" t="s">
        <v>281</v>
      </c>
      <c r="B63" s="3" t="s">
        <v>1162</v>
      </c>
      <c r="C63" s="3" t="s">
        <v>1163</v>
      </c>
      <c r="D63" s="4" t="str">
        <f t="shared" si="0"/>
        <v>18</v>
      </c>
      <c r="E63" s="5">
        <v>1</v>
      </c>
      <c r="F63" s="2">
        <v>18</v>
      </c>
      <c r="G63">
        <f t="shared" si="1"/>
        <v>24</v>
      </c>
      <c r="H63">
        <v>24</v>
      </c>
    </row>
    <row r="64" ht="20" customHeight="1" spans="1:8">
      <c r="A64" s="2"/>
      <c r="B64" s="3" t="s">
        <v>1164</v>
      </c>
      <c r="C64" s="3" t="s">
        <v>1165</v>
      </c>
      <c r="D64" s="4" t="str">
        <f t="shared" si="0"/>
        <v>19</v>
      </c>
      <c r="E64" s="5">
        <v>1</v>
      </c>
      <c r="F64" s="2"/>
      <c r="G64">
        <f t="shared" si="1"/>
        <v>0</v>
      </c>
      <c r="H64">
        <v>25</v>
      </c>
    </row>
    <row r="65" ht="20" customHeight="1" spans="1:8">
      <c r="A65" s="2"/>
      <c r="B65" s="3" t="s">
        <v>1166</v>
      </c>
      <c r="C65" s="3" t="s">
        <v>1167</v>
      </c>
      <c r="D65" s="4" t="str">
        <f t="shared" si="0"/>
        <v>1A</v>
      </c>
      <c r="E65" s="5">
        <v>1</v>
      </c>
      <c r="F65" s="2"/>
      <c r="G65">
        <f t="shared" si="1"/>
        <v>0</v>
      </c>
      <c r="H65">
        <v>26</v>
      </c>
    </row>
    <row r="66" ht="20" customHeight="1" spans="1:8">
      <c r="A66" s="2"/>
      <c r="B66" s="3" t="s">
        <v>1168</v>
      </c>
      <c r="C66" s="3" t="s">
        <v>1169</v>
      </c>
      <c r="D66" s="4" t="str">
        <f t="shared" si="0"/>
        <v>1B</v>
      </c>
      <c r="E66" s="5">
        <v>1</v>
      </c>
      <c r="F66" s="2"/>
      <c r="G66">
        <f t="shared" si="1"/>
        <v>0</v>
      </c>
      <c r="H66">
        <v>27</v>
      </c>
    </row>
    <row r="67" ht="20" customHeight="1" spans="1:8">
      <c r="A67" s="2"/>
      <c r="B67" s="3" t="s">
        <v>1170</v>
      </c>
      <c r="C67" s="3" t="s">
        <v>1171</v>
      </c>
      <c r="D67" s="4" t="str">
        <f t="shared" ref="D67:D130" si="2">DEC2HEX(H67)</f>
        <v>1C</v>
      </c>
      <c r="E67" s="5">
        <v>1</v>
      </c>
      <c r="F67" s="2"/>
      <c r="G67">
        <f t="shared" ref="G67:G130" si="3">HEX2DEC(F67)</f>
        <v>0</v>
      </c>
      <c r="H67">
        <v>28</v>
      </c>
    </row>
    <row r="68" ht="20" customHeight="1" spans="1:8">
      <c r="A68" s="2"/>
      <c r="B68" s="3" t="s">
        <v>1172</v>
      </c>
      <c r="C68" s="3" t="s">
        <v>1173</v>
      </c>
      <c r="D68" s="4" t="str">
        <f t="shared" si="2"/>
        <v>1D</v>
      </c>
      <c r="E68" s="5">
        <v>1</v>
      </c>
      <c r="F68" s="2"/>
      <c r="G68">
        <f t="shared" si="3"/>
        <v>0</v>
      </c>
      <c r="H68">
        <v>29</v>
      </c>
    </row>
    <row r="69" ht="20" customHeight="1" spans="1:8">
      <c r="A69" s="2"/>
      <c r="B69" s="3" t="s">
        <v>1174</v>
      </c>
      <c r="C69" s="3" t="s">
        <v>1175</v>
      </c>
      <c r="D69" s="4" t="str">
        <f t="shared" si="2"/>
        <v>1E</v>
      </c>
      <c r="E69" s="5">
        <v>1</v>
      </c>
      <c r="F69" s="2"/>
      <c r="G69">
        <f t="shared" si="3"/>
        <v>0</v>
      </c>
      <c r="H69">
        <v>30</v>
      </c>
    </row>
    <row r="70" ht="20" customHeight="1" spans="1:8">
      <c r="A70" s="2"/>
      <c r="B70" s="3" t="s">
        <v>1176</v>
      </c>
      <c r="C70" s="3" t="s">
        <v>1177</v>
      </c>
      <c r="D70" s="4" t="str">
        <f t="shared" si="2"/>
        <v>1F</v>
      </c>
      <c r="E70" s="5">
        <v>1</v>
      </c>
      <c r="F70" s="2"/>
      <c r="G70">
        <f t="shared" si="3"/>
        <v>0</v>
      </c>
      <c r="H70">
        <v>31</v>
      </c>
    </row>
    <row r="71" ht="20" customHeight="1" spans="1:8">
      <c r="A71" s="2">
        <v>84</v>
      </c>
      <c r="B71" s="3" t="s">
        <v>1178</v>
      </c>
      <c r="C71" s="3" t="s">
        <v>1179</v>
      </c>
      <c r="D71" s="4" t="str">
        <f t="shared" si="2"/>
        <v>84</v>
      </c>
      <c r="E71" s="5">
        <v>1</v>
      </c>
      <c r="F71" s="2">
        <v>84</v>
      </c>
      <c r="G71">
        <f t="shared" si="3"/>
        <v>132</v>
      </c>
      <c r="H71">
        <v>132</v>
      </c>
    </row>
    <row r="72" ht="20" customHeight="1" spans="1:8">
      <c r="A72" s="2" t="s">
        <v>385</v>
      </c>
      <c r="B72" s="3" t="s">
        <v>1180</v>
      </c>
      <c r="C72" s="3" t="s">
        <v>1181</v>
      </c>
      <c r="D72" s="4" t="str">
        <f t="shared" si="2"/>
        <v>D8</v>
      </c>
      <c r="E72" s="5">
        <v>2</v>
      </c>
      <c r="F72" s="2" t="s">
        <v>1182</v>
      </c>
      <c r="G72">
        <f t="shared" si="3"/>
        <v>216</v>
      </c>
      <c r="H72">
        <v>216</v>
      </c>
    </row>
    <row r="73" ht="20" customHeight="1" spans="1:8">
      <c r="A73" s="2"/>
      <c r="B73" s="3" t="s">
        <v>1183</v>
      </c>
      <c r="C73" s="3" t="s">
        <v>1184</v>
      </c>
      <c r="D73" s="4" t="str">
        <f t="shared" si="2"/>
        <v>D9</v>
      </c>
      <c r="E73" s="5">
        <v>2</v>
      </c>
      <c r="F73" s="2"/>
      <c r="G73">
        <f t="shared" si="3"/>
        <v>0</v>
      </c>
      <c r="H73">
        <v>217</v>
      </c>
    </row>
    <row r="74" ht="20" customHeight="1" spans="1:8">
      <c r="A74" s="2"/>
      <c r="B74" s="3" t="s">
        <v>1185</v>
      </c>
      <c r="C74" s="3" t="s">
        <v>1186</v>
      </c>
      <c r="D74" s="4" t="str">
        <f t="shared" si="2"/>
        <v>DA</v>
      </c>
      <c r="E74" s="5">
        <v>2</v>
      </c>
      <c r="F74" s="2"/>
      <c r="G74">
        <f t="shared" si="3"/>
        <v>0</v>
      </c>
      <c r="H74">
        <v>218</v>
      </c>
    </row>
    <row r="75" ht="20" customHeight="1" spans="1:8">
      <c r="A75" s="2"/>
      <c r="B75" s="3" t="s">
        <v>1187</v>
      </c>
      <c r="C75" s="3" t="s">
        <v>1188</v>
      </c>
      <c r="D75" s="4" t="str">
        <f t="shared" si="2"/>
        <v>DB</v>
      </c>
      <c r="E75" s="5">
        <v>2</v>
      </c>
      <c r="F75" s="2"/>
      <c r="G75">
        <f t="shared" si="3"/>
        <v>0</v>
      </c>
      <c r="H75">
        <v>219</v>
      </c>
    </row>
    <row r="76" ht="20" customHeight="1" spans="1:8">
      <c r="A76" s="2"/>
      <c r="B76" s="3" t="s">
        <v>1189</v>
      </c>
      <c r="C76" s="3" t="s">
        <v>1190</v>
      </c>
      <c r="D76" s="4" t="str">
        <f t="shared" si="2"/>
        <v>DC</v>
      </c>
      <c r="E76" s="5">
        <v>2</v>
      </c>
      <c r="F76" s="2"/>
      <c r="G76">
        <f t="shared" si="3"/>
        <v>0</v>
      </c>
      <c r="H76">
        <v>220</v>
      </c>
    </row>
    <row r="77" ht="20" customHeight="1" spans="1:8">
      <c r="A77" s="2"/>
      <c r="B77" s="3" t="s">
        <v>1191</v>
      </c>
      <c r="C77" s="3" t="s">
        <v>1192</v>
      </c>
      <c r="D77" s="4" t="str">
        <f t="shared" si="2"/>
        <v>DD</v>
      </c>
      <c r="E77" s="5">
        <v>2</v>
      </c>
      <c r="F77" s="2"/>
      <c r="G77">
        <f t="shared" si="3"/>
        <v>0</v>
      </c>
      <c r="H77">
        <v>221</v>
      </c>
    </row>
    <row r="78" ht="20" customHeight="1" spans="1:8">
      <c r="A78" s="2"/>
      <c r="B78" s="3" t="s">
        <v>1193</v>
      </c>
      <c r="C78" s="3" t="s">
        <v>1194</v>
      </c>
      <c r="D78" s="4" t="str">
        <f t="shared" si="2"/>
        <v>DE</v>
      </c>
      <c r="E78" s="5">
        <v>2</v>
      </c>
      <c r="F78" s="2"/>
      <c r="G78">
        <f t="shared" si="3"/>
        <v>0</v>
      </c>
      <c r="H78">
        <v>222</v>
      </c>
    </row>
    <row r="79" ht="20" customHeight="1" spans="1:8">
      <c r="A79" s="2"/>
      <c r="B79" s="3" t="s">
        <v>1195</v>
      </c>
      <c r="C79" s="3" t="s">
        <v>1196</v>
      </c>
      <c r="D79" s="4" t="str">
        <f t="shared" si="2"/>
        <v>DF</v>
      </c>
      <c r="E79" s="5">
        <v>2</v>
      </c>
      <c r="F79" s="2"/>
      <c r="G79">
        <f t="shared" si="3"/>
        <v>0</v>
      </c>
      <c r="H79">
        <v>223</v>
      </c>
    </row>
    <row r="80" ht="20" customHeight="1" spans="1:8">
      <c r="A80" s="2" t="s">
        <v>273</v>
      </c>
      <c r="B80" s="3" t="s">
        <v>1197</v>
      </c>
      <c r="C80" s="3" t="s">
        <v>1198</v>
      </c>
      <c r="D80" s="4" t="str">
        <f t="shared" si="2"/>
        <v>6</v>
      </c>
      <c r="E80" s="5">
        <v>1</v>
      </c>
      <c r="F80" s="2">
        <v>6</v>
      </c>
      <c r="G80">
        <f t="shared" si="3"/>
        <v>6</v>
      </c>
      <c r="H80">
        <v>6</v>
      </c>
    </row>
    <row r="81" ht="20" customHeight="1" spans="1:8">
      <c r="A81" s="2"/>
      <c r="B81" s="3" t="s">
        <v>1199</v>
      </c>
      <c r="C81" s="3" t="s">
        <v>1200</v>
      </c>
      <c r="D81" s="4" t="str">
        <f t="shared" si="2"/>
        <v>7</v>
      </c>
      <c r="E81" s="5">
        <v>1</v>
      </c>
      <c r="F81" s="2"/>
      <c r="G81">
        <f t="shared" si="3"/>
        <v>0</v>
      </c>
      <c r="H81">
        <v>7</v>
      </c>
    </row>
    <row r="82" ht="20" customHeight="1" spans="1:8">
      <c r="A82" s="2">
        <v>4</v>
      </c>
      <c r="B82" s="3" t="s">
        <v>1201</v>
      </c>
      <c r="C82" s="3" t="s">
        <v>1202</v>
      </c>
      <c r="D82" s="4" t="str">
        <f t="shared" si="2"/>
        <v>4</v>
      </c>
      <c r="E82" s="5">
        <v>1</v>
      </c>
      <c r="F82" s="2">
        <v>4</v>
      </c>
      <c r="G82">
        <f t="shared" si="3"/>
        <v>4</v>
      </c>
      <c r="H82">
        <v>4</v>
      </c>
    </row>
    <row r="83" ht="20" customHeight="1" spans="1:8">
      <c r="A83" s="2" t="s">
        <v>270</v>
      </c>
      <c r="B83" s="3" t="s">
        <v>1203</v>
      </c>
      <c r="C83" s="3" t="s">
        <v>1204</v>
      </c>
      <c r="D83" s="4" t="str">
        <f t="shared" si="2"/>
        <v>5</v>
      </c>
      <c r="E83" s="5">
        <v>2</v>
      </c>
      <c r="F83" s="2">
        <v>5</v>
      </c>
      <c r="G83">
        <f t="shared" si="3"/>
        <v>5</v>
      </c>
      <c r="H83">
        <v>5</v>
      </c>
    </row>
    <row r="84" ht="20" customHeight="1" spans="1:8">
      <c r="A84" s="2" t="s">
        <v>276</v>
      </c>
      <c r="B84" s="3" t="s">
        <v>1205</v>
      </c>
      <c r="C84" s="3" t="s">
        <v>1206</v>
      </c>
      <c r="D84" s="4" t="str">
        <f t="shared" si="2"/>
        <v>A3</v>
      </c>
      <c r="E84" s="5">
        <v>1</v>
      </c>
      <c r="F84" s="2" t="s">
        <v>1207</v>
      </c>
      <c r="G84">
        <f t="shared" si="3"/>
        <v>163</v>
      </c>
      <c r="H84">
        <v>163</v>
      </c>
    </row>
    <row r="85" ht="20" customHeight="1" spans="1:8">
      <c r="A85" s="2" t="s">
        <v>267</v>
      </c>
      <c r="B85" s="3" t="s">
        <v>1208</v>
      </c>
      <c r="C85" s="3" t="s">
        <v>1209</v>
      </c>
      <c r="D85" s="4" t="str">
        <f t="shared" si="2"/>
        <v>8</v>
      </c>
      <c r="E85" s="5">
        <v>1</v>
      </c>
      <c r="F85" s="2">
        <v>8</v>
      </c>
      <c r="G85">
        <f t="shared" si="3"/>
        <v>8</v>
      </c>
      <c r="H85">
        <v>8</v>
      </c>
    </row>
    <row r="86" ht="20" customHeight="1" spans="1:8">
      <c r="A86" s="2"/>
      <c r="B86" s="3" t="s">
        <v>1210</v>
      </c>
      <c r="C86" s="3" t="s">
        <v>1211</v>
      </c>
      <c r="D86" s="4" t="str">
        <f t="shared" si="2"/>
        <v>9</v>
      </c>
      <c r="E86" s="5">
        <v>1</v>
      </c>
      <c r="F86" s="2"/>
      <c r="G86">
        <f t="shared" si="3"/>
        <v>0</v>
      </c>
      <c r="H86">
        <v>9</v>
      </c>
    </row>
    <row r="87" ht="20" customHeight="1" spans="1:8">
      <c r="A87" s="2"/>
      <c r="B87" s="3" t="s">
        <v>1212</v>
      </c>
      <c r="C87" s="3" t="s">
        <v>1213</v>
      </c>
      <c r="D87" s="4" t="str">
        <f t="shared" si="2"/>
        <v>A</v>
      </c>
      <c r="E87" s="5">
        <v>1</v>
      </c>
      <c r="F87" s="2"/>
      <c r="G87">
        <f t="shared" si="3"/>
        <v>0</v>
      </c>
      <c r="H87">
        <v>10</v>
      </c>
    </row>
    <row r="88" ht="20" customHeight="1" spans="1:8">
      <c r="A88" s="2"/>
      <c r="B88" s="3" t="s">
        <v>1214</v>
      </c>
      <c r="C88" s="3" t="s">
        <v>1215</v>
      </c>
      <c r="D88" s="4" t="str">
        <f t="shared" si="2"/>
        <v>B</v>
      </c>
      <c r="E88" s="5">
        <v>1</v>
      </c>
      <c r="F88" s="2"/>
      <c r="G88">
        <f t="shared" si="3"/>
        <v>0</v>
      </c>
      <c r="H88">
        <v>11</v>
      </c>
    </row>
    <row r="89" ht="20" customHeight="1" spans="1:8">
      <c r="A89" s="2"/>
      <c r="B89" s="3" t="s">
        <v>1216</v>
      </c>
      <c r="C89" s="3" t="s">
        <v>1217</v>
      </c>
      <c r="D89" s="4" t="str">
        <f t="shared" si="2"/>
        <v>C</v>
      </c>
      <c r="E89" s="5">
        <v>1</v>
      </c>
      <c r="F89" s="2"/>
      <c r="G89">
        <f t="shared" si="3"/>
        <v>0</v>
      </c>
      <c r="H89">
        <v>12</v>
      </c>
    </row>
    <row r="90" ht="20" customHeight="1" spans="1:8">
      <c r="A90" s="2"/>
      <c r="B90" s="3" t="s">
        <v>1218</v>
      </c>
      <c r="C90" s="3" t="s">
        <v>1219</v>
      </c>
      <c r="D90" s="4" t="str">
        <f t="shared" si="2"/>
        <v>D</v>
      </c>
      <c r="E90" s="5">
        <v>1</v>
      </c>
      <c r="F90" s="2"/>
      <c r="G90">
        <f t="shared" si="3"/>
        <v>0</v>
      </c>
      <c r="H90">
        <v>13</v>
      </c>
    </row>
    <row r="91" ht="20" customHeight="1" spans="1:8">
      <c r="A91" s="2"/>
      <c r="B91" s="3" t="s">
        <v>1220</v>
      </c>
      <c r="C91" s="3" t="s">
        <v>1221</v>
      </c>
      <c r="D91" s="4" t="str">
        <f t="shared" si="2"/>
        <v>E</v>
      </c>
      <c r="E91" s="5">
        <v>1</v>
      </c>
      <c r="F91" s="2"/>
      <c r="G91">
        <f t="shared" si="3"/>
        <v>0</v>
      </c>
      <c r="H91">
        <v>14</v>
      </c>
    </row>
    <row r="92" ht="20" customHeight="1" spans="1:8">
      <c r="A92" s="2"/>
      <c r="B92" s="3" t="s">
        <v>1222</v>
      </c>
      <c r="C92" s="3" t="s">
        <v>1223</v>
      </c>
      <c r="D92" s="4" t="str">
        <f t="shared" si="2"/>
        <v>F</v>
      </c>
      <c r="E92" s="5">
        <v>1</v>
      </c>
      <c r="F92" s="2"/>
      <c r="G92">
        <f t="shared" si="3"/>
        <v>0</v>
      </c>
      <c r="H92">
        <v>15</v>
      </c>
    </row>
    <row r="93" ht="20" customHeight="1" spans="1:8">
      <c r="A93" s="2" t="s">
        <v>401</v>
      </c>
      <c r="B93" s="3" t="s">
        <v>1224</v>
      </c>
      <c r="C93" s="3" t="s">
        <v>1225</v>
      </c>
      <c r="D93" s="4" t="str">
        <f t="shared" si="2"/>
        <v>20</v>
      </c>
      <c r="E93" s="5">
        <v>3</v>
      </c>
      <c r="F93" s="2">
        <v>20</v>
      </c>
      <c r="G93">
        <f t="shared" si="3"/>
        <v>32</v>
      </c>
      <c r="H93">
        <v>32</v>
      </c>
    </row>
    <row r="94" ht="20" customHeight="1" spans="1:8">
      <c r="A94" s="2" t="s">
        <v>407</v>
      </c>
      <c r="B94" s="3" t="s">
        <v>1226</v>
      </c>
      <c r="C94" s="3" t="s">
        <v>1227</v>
      </c>
      <c r="D94" s="4" t="str">
        <f t="shared" si="2"/>
        <v>10</v>
      </c>
      <c r="E94" s="5">
        <v>3</v>
      </c>
      <c r="F94" s="2">
        <v>10</v>
      </c>
      <c r="G94">
        <f t="shared" si="3"/>
        <v>16</v>
      </c>
      <c r="H94">
        <v>16</v>
      </c>
    </row>
    <row r="95" ht="20" customHeight="1" spans="1:8">
      <c r="A95" s="2" t="s">
        <v>395</v>
      </c>
      <c r="B95" s="3" t="s">
        <v>1228</v>
      </c>
      <c r="C95" s="3" t="s">
        <v>1229</v>
      </c>
      <c r="D95" s="4" t="str">
        <f t="shared" si="2"/>
        <v>40</v>
      </c>
      <c r="E95" s="5">
        <v>2</v>
      </c>
      <c r="F95" s="2">
        <v>40</v>
      </c>
      <c r="G95">
        <f t="shared" si="3"/>
        <v>64</v>
      </c>
      <c r="H95">
        <v>64</v>
      </c>
    </row>
    <row r="96" ht="20" customHeight="1" spans="1:8">
      <c r="A96" s="2">
        <v>73</v>
      </c>
      <c r="B96" s="3" t="s">
        <v>380</v>
      </c>
      <c r="C96" s="3" t="s">
        <v>1230</v>
      </c>
      <c r="D96" s="4" t="str">
        <f t="shared" si="2"/>
        <v>73</v>
      </c>
      <c r="E96" s="5">
        <v>1</v>
      </c>
      <c r="F96" s="2">
        <v>73</v>
      </c>
      <c r="G96">
        <f t="shared" si="3"/>
        <v>115</v>
      </c>
      <c r="H96">
        <v>115</v>
      </c>
    </row>
    <row r="97" ht="20" customHeight="1" spans="1:8">
      <c r="A97" s="2" t="s">
        <v>404</v>
      </c>
      <c r="B97" s="3" t="s">
        <v>1231</v>
      </c>
      <c r="C97" s="3" t="s">
        <v>1232</v>
      </c>
      <c r="D97" s="4" t="str">
        <f t="shared" si="2"/>
        <v>30</v>
      </c>
      <c r="E97" s="5">
        <v>3</v>
      </c>
      <c r="F97" s="2">
        <v>30</v>
      </c>
      <c r="G97">
        <f t="shared" si="3"/>
        <v>48</v>
      </c>
      <c r="H97">
        <v>48</v>
      </c>
    </row>
    <row r="98" ht="20" customHeight="1" spans="1:8">
      <c r="A98" s="2" t="s">
        <v>398</v>
      </c>
      <c r="B98" s="3" t="s">
        <v>1233</v>
      </c>
      <c r="C98" s="3" t="s">
        <v>1234</v>
      </c>
      <c r="D98" s="4" t="str">
        <f t="shared" si="2"/>
        <v>50</v>
      </c>
      <c r="E98" s="5">
        <v>2</v>
      </c>
      <c r="F98" s="2">
        <v>50</v>
      </c>
      <c r="G98">
        <f t="shared" si="3"/>
        <v>80</v>
      </c>
      <c r="H98">
        <v>80</v>
      </c>
    </row>
    <row r="99" ht="20" customHeight="1" spans="1:8">
      <c r="A99" s="2" t="s">
        <v>392</v>
      </c>
      <c r="B99" s="3" t="s">
        <v>1235</v>
      </c>
      <c r="C99" s="3" t="s">
        <v>1236</v>
      </c>
      <c r="D99" s="4" t="str">
        <f t="shared" si="2"/>
        <v>70</v>
      </c>
      <c r="E99" s="5">
        <v>2</v>
      </c>
      <c r="F99" s="2">
        <v>70</v>
      </c>
      <c r="G99">
        <f t="shared" si="3"/>
        <v>112</v>
      </c>
      <c r="H99">
        <v>112</v>
      </c>
    </row>
    <row r="100" ht="20" customHeight="1" spans="1:8">
      <c r="A100" s="2" t="s">
        <v>389</v>
      </c>
      <c r="B100" s="3" t="s">
        <v>1237</v>
      </c>
      <c r="C100" s="3" t="s">
        <v>1238</v>
      </c>
      <c r="D100" s="4" t="str">
        <f t="shared" si="2"/>
        <v>60</v>
      </c>
      <c r="E100" s="5">
        <v>2</v>
      </c>
      <c r="F100" s="2">
        <v>60</v>
      </c>
      <c r="G100">
        <f t="shared" si="3"/>
        <v>96</v>
      </c>
      <c r="H100">
        <v>96</v>
      </c>
    </row>
    <row r="101" ht="20" customHeight="1" spans="1:8">
      <c r="A101" s="2" t="s">
        <v>382</v>
      </c>
      <c r="B101" s="3" t="s">
        <v>1239</v>
      </c>
      <c r="C101" s="3" t="s">
        <v>1240</v>
      </c>
      <c r="D101" s="4" t="str">
        <f t="shared" si="2"/>
        <v>12</v>
      </c>
      <c r="E101" s="5">
        <v>3</v>
      </c>
      <c r="F101" s="2">
        <v>12</v>
      </c>
      <c r="G101">
        <f t="shared" si="3"/>
        <v>18</v>
      </c>
      <c r="H101">
        <v>18</v>
      </c>
    </row>
    <row r="102" ht="20" customHeight="1" spans="1:8">
      <c r="A102" s="2" t="s">
        <v>374</v>
      </c>
      <c r="B102" s="3" t="s">
        <v>1241</v>
      </c>
      <c r="C102" s="3" t="s">
        <v>1242</v>
      </c>
      <c r="D102" s="4" t="str">
        <f t="shared" si="2"/>
        <v>2</v>
      </c>
      <c r="E102" s="5">
        <v>3</v>
      </c>
      <c r="F102" s="2">
        <v>2</v>
      </c>
      <c r="G102">
        <f t="shared" si="3"/>
        <v>2</v>
      </c>
      <c r="H102">
        <v>2</v>
      </c>
    </row>
    <row r="103" ht="20" customHeight="1" spans="1:8">
      <c r="A103" s="2" t="s">
        <v>178</v>
      </c>
      <c r="B103" s="3" t="s">
        <v>1243</v>
      </c>
      <c r="C103" s="3" t="s">
        <v>1244</v>
      </c>
      <c r="D103" s="4" t="str">
        <f t="shared" si="2"/>
        <v>76</v>
      </c>
      <c r="E103" s="5">
        <v>2</v>
      </c>
      <c r="F103" s="2">
        <v>76</v>
      </c>
      <c r="G103">
        <f t="shared" si="3"/>
        <v>118</v>
      </c>
      <c r="H103">
        <v>118</v>
      </c>
    </row>
    <row r="104" ht="20" customHeight="1" spans="1:8">
      <c r="A104" s="2"/>
      <c r="B104" s="3" t="s">
        <v>1245</v>
      </c>
      <c r="C104" s="3" t="s">
        <v>1246</v>
      </c>
      <c r="D104" s="4" t="str">
        <f t="shared" si="2"/>
        <v>77</v>
      </c>
      <c r="E104" s="5">
        <v>2</v>
      </c>
      <c r="F104" s="2"/>
      <c r="G104">
        <f t="shared" si="3"/>
        <v>0</v>
      </c>
      <c r="H104">
        <v>119</v>
      </c>
    </row>
    <row r="105" ht="20" customHeight="1" spans="1:8">
      <c r="A105" s="2" t="s">
        <v>172</v>
      </c>
      <c r="B105" s="3" t="s">
        <v>1247</v>
      </c>
      <c r="C105" s="3" t="s">
        <v>1248</v>
      </c>
      <c r="D105" s="4" t="str">
        <f t="shared" si="2"/>
        <v>F6</v>
      </c>
      <c r="E105" s="5">
        <v>1</v>
      </c>
      <c r="F105" s="2" t="s">
        <v>1249</v>
      </c>
      <c r="G105">
        <f t="shared" si="3"/>
        <v>246</v>
      </c>
      <c r="H105">
        <v>246</v>
      </c>
    </row>
    <row r="106" ht="20" customHeight="1" spans="1:8">
      <c r="A106" s="2"/>
      <c r="B106" s="3" t="s">
        <v>1250</v>
      </c>
      <c r="C106" s="3" t="s">
        <v>1251</v>
      </c>
      <c r="D106" s="4" t="str">
        <f t="shared" si="2"/>
        <v>F7</v>
      </c>
      <c r="E106" s="5">
        <v>1</v>
      </c>
      <c r="F106" s="2"/>
      <c r="G106">
        <f t="shared" si="3"/>
        <v>0</v>
      </c>
      <c r="H106">
        <v>247</v>
      </c>
    </row>
    <row r="107" ht="20" customHeight="1" spans="1:8">
      <c r="A107" s="2" t="s">
        <v>175</v>
      </c>
      <c r="B107" s="3" t="s">
        <v>1252</v>
      </c>
      <c r="C107" s="3" t="s">
        <v>1253</v>
      </c>
      <c r="D107" s="4" t="str">
        <f t="shared" si="2"/>
        <v>A6</v>
      </c>
      <c r="E107" s="5">
        <v>2</v>
      </c>
      <c r="F107" s="2" t="s">
        <v>1254</v>
      </c>
      <c r="G107">
        <f t="shared" si="3"/>
        <v>166</v>
      </c>
      <c r="H107">
        <v>166</v>
      </c>
    </row>
    <row r="108" ht="20" customHeight="1" spans="1:8">
      <c r="A108" s="2"/>
      <c r="B108" s="3" t="s">
        <v>1255</v>
      </c>
      <c r="C108" s="3" t="s">
        <v>1256</v>
      </c>
      <c r="D108" s="4" t="str">
        <f t="shared" si="2"/>
        <v>A7</v>
      </c>
      <c r="E108" s="5">
        <v>2</v>
      </c>
      <c r="F108" s="2"/>
      <c r="G108">
        <f t="shared" si="3"/>
        <v>0</v>
      </c>
      <c r="H108">
        <v>167</v>
      </c>
    </row>
    <row r="109" ht="20" customHeight="1" spans="1:8">
      <c r="A109" s="2" t="s">
        <v>128</v>
      </c>
      <c r="B109" s="3" t="s">
        <v>1257</v>
      </c>
      <c r="C109" s="3" t="s">
        <v>1258</v>
      </c>
      <c r="D109" s="4" t="str">
        <f t="shared" si="2"/>
        <v>74</v>
      </c>
      <c r="E109" s="5">
        <v>2</v>
      </c>
      <c r="F109" s="2">
        <v>74</v>
      </c>
      <c r="G109">
        <f t="shared" si="3"/>
        <v>116</v>
      </c>
      <c r="H109">
        <v>116</v>
      </c>
    </row>
    <row r="110" ht="20" customHeight="1" spans="1:8">
      <c r="A110" s="2" t="s">
        <v>121</v>
      </c>
      <c r="B110" s="3" t="s">
        <v>1259</v>
      </c>
      <c r="C110" s="3" t="s">
        <v>1260</v>
      </c>
      <c r="D110" s="4" t="str">
        <f t="shared" si="2"/>
        <v>E6</v>
      </c>
      <c r="E110" s="5">
        <v>1</v>
      </c>
      <c r="F110" s="2" t="s">
        <v>1261</v>
      </c>
      <c r="G110">
        <f t="shared" si="3"/>
        <v>230</v>
      </c>
      <c r="H110">
        <v>230</v>
      </c>
    </row>
    <row r="111" ht="20" customHeight="1" spans="1:8">
      <c r="A111" s="2"/>
      <c r="B111" s="3" t="s">
        <v>1262</v>
      </c>
      <c r="C111" s="3" t="s">
        <v>1263</v>
      </c>
      <c r="D111" s="4" t="str">
        <f t="shared" si="2"/>
        <v>E7</v>
      </c>
      <c r="E111" s="5">
        <v>1</v>
      </c>
      <c r="F111" s="2"/>
      <c r="G111">
        <f t="shared" si="3"/>
        <v>0</v>
      </c>
      <c r="H111">
        <v>231</v>
      </c>
    </row>
    <row r="112" ht="20" customHeight="1" spans="1:8">
      <c r="A112" s="2" t="s">
        <v>114</v>
      </c>
      <c r="B112" s="3" t="s">
        <v>1264</v>
      </c>
      <c r="C112" s="3" t="s">
        <v>1265</v>
      </c>
      <c r="D112" s="4" t="str">
        <f t="shared" si="2"/>
        <v>E5</v>
      </c>
      <c r="E112" s="5">
        <v>2</v>
      </c>
      <c r="F112" s="2" t="s">
        <v>1266</v>
      </c>
      <c r="G112">
        <f t="shared" si="3"/>
        <v>229</v>
      </c>
      <c r="H112">
        <v>229</v>
      </c>
    </row>
    <row r="113" ht="20" customHeight="1" spans="1:8">
      <c r="A113" s="2" t="s">
        <v>106</v>
      </c>
      <c r="B113" s="3" t="s">
        <v>1267</v>
      </c>
      <c r="C113" s="3" t="s">
        <v>1268</v>
      </c>
      <c r="D113" s="4" t="str">
        <f t="shared" si="2"/>
        <v>E8</v>
      </c>
      <c r="E113" s="5">
        <v>1</v>
      </c>
      <c r="F113" s="2" t="s">
        <v>1269</v>
      </c>
      <c r="G113">
        <f t="shared" si="3"/>
        <v>232</v>
      </c>
      <c r="H113">
        <v>232</v>
      </c>
    </row>
    <row r="114" ht="20" customHeight="1" spans="1:8">
      <c r="A114" s="2"/>
      <c r="B114" s="3" t="s">
        <v>1270</v>
      </c>
      <c r="C114" s="3" t="s">
        <v>1271</v>
      </c>
      <c r="D114" s="4" t="str">
        <f t="shared" ref="D114:D120" si="4">DEC2HEX(H114)</f>
        <v>E9</v>
      </c>
      <c r="E114" s="5">
        <v>1</v>
      </c>
      <c r="F114" s="2"/>
      <c r="H114">
        <v>233</v>
      </c>
    </row>
    <row r="115" ht="20" customHeight="1" spans="1:8">
      <c r="A115" s="2"/>
      <c r="B115" s="3" t="s">
        <v>1272</v>
      </c>
      <c r="C115" s="3" t="s">
        <v>1273</v>
      </c>
      <c r="D115" s="4" t="str">
        <f t="shared" si="4"/>
        <v>EA</v>
      </c>
      <c r="E115" s="5">
        <v>1</v>
      </c>
      <c r="F115" s="2"/>
      <c r="H115">
        <v>234</v>
      </c>
    </row>
    <row r="116" ht="20" customHeight="1" spans="1:8">
      <c r="A116" s="2"/>
      <c r="B116" s="3" t="s">
        <v>1274</v>
      </c>
      <c r="C116" s="3" t="s">
        <v>1275</v>
      </c>
      <c r="D116" s="4" t="str">
        <f t="shared" si="4"/>
        <v>EB</v>
      </c>
      <c r="E116" s="5">
        <v>1</v>
      </c>
      <c r="F116" s="2"/>
      <c r="H116">
        <v>235</v>
      </c>
    </row>
    <row r="117" ht="20" customHeight="1" spans="1:8">
      <c r="A117" s="2"/>
      <c r="B117" s="3" t="s">
        <v>1276</v>
      </c>
      <c r="C117" s="3" t="s">
        <v>1277</v>
      </c>
      <c r="D117" s="4" t="str">
        <f t="shared" si="4"/>
        <v>EC</v>
      </c>
      <c r="E117" s="5">
        <v>1</v>
      </c>
      <c r="F117" s="2"/>
      <c r="H117">
        <v>236</v>
      </c>
    </row>
    <row r="118" ht="20" customHeight="1" spans="1:8">
      <c r="A118" s="2"/>
      <c r="B118" s="3" t="s">
        <v>1278</v>
      </c>
      <c r="C118" s="3" t="s">
        <v>1279</v>
      </c>
      <c r="D118" s="4" t="str">
        <f t="shared" si="4"/>
        <v>ED</v>
      </c>
      <c r="E118" s="5">
        <v>1</v>
      </c>
      <c r="F118" s="2"/>
      <c r="H118">
        <v>237</v>
      </c>
    </row>
    <row r="119" ht="20" customHeight="1" spans="1:8">
      <c r="A119" s="2"/>
      <c r="B119" s="3" t="s">
        <v>1280</v>
      </c>
      <c r="C119" s="3" t="s">
        <v>1281</v>
      </c>
      <c r="D119" s="4" t="str">
        <f t="shared" si="4"/>
        <v>EE</v>
      </c>
      <c r="E119" s="5">
        <v>1</v>
      </c>
      <c r="F119" s="2"/>
      <c r="H119">
        <v>238</v>
      </c>
    </row>
    <row r="120" ht="20" customHeight="1" spans="1:8">
      <c r="A120" s="2"/>
      <c r="B120" s="3" t="s">
        <v>1282</v>
      </c>
      <c r="C120" s="3" t="s">
        <v>1283</v>
      </c>
      <c r="D120" s="4" t="str">
        <f t="shared" si="4"/>
        <v>EF</v>
      </c>
      <c r="E120" s="5">
        <v>1</v>
      </c>
      <c r="F120" s="2"/>
      <c r="H120">
        <v>239</v>
      </c>
    </row>
    <row r="121" ht="20" customHeight="1" spans="1:8">
      <c r="A121" s="2" t="s">
        <v>433</v>
      </c>
      <c r="B121" s="3" t="s">
        <v>1284</v>
      </c>
      <c r="C121" s="3" t="s">
        <v>1285</v>
      </c>
      <c r="D121" s="4" t="str">
        <f>DEC2HEX(H121)</f>
        <v>92</v>
      </c>
      <c r="E121" s="5">
        <v>2</v>
      </c>
      <c r="F121" s="2">
        <v>92</v>
      </c>
      <c r="G121">
        <f>HEX2DEC(F121)</f>
        <v>146</v>
      </c>
      <c r="H121">
        <v>146</v>
      </c>
    </row>
    <row r="122" ht="20" customHeight="1" spans="1:8">
      <c r="A122" s="2" t="s">
        <v>430</v>
      </c>
      <c r="B122" s="3" t="s">
        <v>1286</v>
      </c>
      <c r="C122" s="3" t="s">
        <v>1287</v>
      </c>
      <c r="D122" s="4" t="str">
        <f>DEC2HEX(H122)</f>
        <v>A2</v>
      </c>
      <c r="E122" s="5">
        <v>2</v>
      </c>
      <c r="F122" s="2" t="s">
        <v>1288</v>
      </c>
      <c r="G122">
        <f>HEX2DEC(F122)</f>
        <v>162</v>
      </c>
      <c r="H122">
        <v>162</v>
      </c>
    </row>
    <row r="123" ht="20" customHeight="1" spans="1:8">
      <c r="A123" s="2" t="s">
        <v>169</v>
      </c>
      <c r="B123" s="3" t="s">
        <v>1289</v>
      </c>
      <c r="C123" s="3" t="s">
        <v>1290</v>
      </c>
      <c r="D123" s="4" t="str">
        <f>DEC2HEX(H123)</f>
        <v>75</v>
      </c>
      <c r="E123" s="5">
        <v>3</v>
      </c>
      <c r="F123" s="2">
        <v>75</v>
      </c>
      <c r="G123">
        <f>HEX2DEC(F123)</f>
        <v>117</v>
      </c>
      <c r="H123">
        <v>117</v>
      </c>
    </row>
    <row r="124" ht="20" customHeight="1" spans="1:8">
      <c r="A124" s="2" t="s">
        <v>166</v>
      </c>
      <c r="B124" s="3" t="s">
        <v>1291</v>
      </c>
      <c r="C124" s="3" t="s">
        <v>1292</v>
      </c>
      <c r="D124" s="4" t="str">
        <f>DEC2HEX(H124)</f>
        <v>86</v>
      </c>
      <c r="E124" s="5">
        <v>2</v>
      </c>
      <c r="F124" s="2">
        <v>86</v>
      </c>
      <c r="G124">
        <f>HEX2DEC(F124)</f>
        <v>134</v>
      </c>
      <c r="H124">
        <v>134</v>
      </c>
    </row>
    <row r="125" ht="20" customHeight="1" spans="1:8">
      <c r="A125" s="2"/>
      <c r="B125" s="3" t="s">
        <v>1293</v>
      </c>
      <c r="C125" s="3" t="s">
        <v>1294</v>
      </c>
      <c r="D125" s="4" t="str">
        <f>DEC2HEX(H125)</f>
        <v>87</v>
      </c>
      <c r="E125" s="5">
        <v>2</v>
      </c>
      <c r="F125" s="2"/>
      <c r="G125">
        <f>HEX2DEC(F125)</f>
        <v>0</v>
      </c>
      <c r="H125">
        <v>135</v>
      </c>
    </row>
    <row r="126" ht="20" customHeight="1" spans="1:8">
      <c r="A126" s="2" t="s">
        <v>157</v>
      </c>
      <c r="B126" s="3" t="s">
        <v>1295</v>
      </c>
      <c r="C126" s="3" t="s">
        <v>1296</v>
      </c>
      <c r="D126" s="4" t="str">
        <f>DEC2HEX(H126)</f>
        <v>F5</v>
      </c>
      <c r="E126" s="5">
        <v>2</v>
      </c>
      <c r="F126" s="2" t="s">
        <v>1297</v>
      </c>
      <c r="G126">
        <f>HEX2DEC(F126)</f>
        <v>245</v>
      </c>
      <c r="H126">
        <v>245</v>
      </c>
    </row>
    <row r="127" ht="20" customHeight="1" spans="1:8">
      <c r="A127" s="2" t="s">
        <v>160</v>
      </c>
      <c r="B127" s="3" t="s">
        <v>1298</v>
      </c>
      <c r="C127" s="3" t="s">
        <v>1299</v>
      </c>
      <c r="D127" s="4" t="str">
        <f>DEC2HEX(H127)</f>
        <v>88</v>
      </c>
      <c r="E127" s="5">
        <v>2</v>
      </c>
      <c r="F127" s="2">
        <v>88</v>
      </c>
      <c r="G127">
        <f>HEX2DEC(F127)</f>
        <v>136</v>
      </c>
      <c r="H127">
        <v>136</v>
      </c>
    </row>
    <row r="128" ht="20" customHeight="1" spans="1:8">
      <c r="A128" s="2"/>
      <c r="B128" s="3" t="s">
        <v>1300</v>
      </c>
      <c r="C128" s="3" t="s">
        <v>1301</v>
      </c>
      <c r="D128" s="4" t="str">
        <f>DEC2HEX(H128)</f>
        <v>89</v>
      </c>
      <c r="E128" s="5">
        <v>2</v>
      </c>
      <c r="F128" s="2"/>
      <c r="G128">
        <f>HEX2DEC(F128)</f>
        <v>0</v>
      </c>
      <c r="H128">
        <v>137</v>
      </c>
    </row>
    <row r="129" ht="20" customHeight="1" spans="1:8">
      <c r="A129" s="2"/>
      <c r="B129" s="3" t="s">
        <v>1302</v>
      </c>
      <c r="C129" s="3" t="s">
        <v>1303</v>
      </c>
      <c r="D129" s="4" t="str">
        <f>DEC2HEX(H129)</f>
        <v>8A</v>
      </c>
      <c r="E129" s="5">
        <v>2</v>
      </c>
      <c r="F129" s="2"/>
      <c r="G129">
        <f>HEX2DEC(F129)</f>
        <v>0</v>
      </c>
      <c r="H129">
        <v>138</v>
      </c>
    </row>
    <row r="130" ht="20" customHeight="1" spans="1:8">
      <c r="A130" s="2"/>
      <c r="B130" s="3" t="s">
        <v>1304</v>
      </c>
      <c r="C130" s="3" t="s">
        <v>1305</v>
      </c>
      <c r="D130" s="4" t="str">
        <f>DEC2HEX(H130)</f>
        <v>8B</v>
      </c>
      <c r="E130" s="5">
        <v>2</v>
      </c>
      <c r="F130" s="2"/>
      <c r="G130">
        <f>HEX2DEC(F130)</f>
        <v>0</v>
      </c>
      <c r="H130">
        <v>139</v>
      </c>
    </row>
    <row r="131" ht="20" customHeight="1" spans="1:8">
      <c r="A131" s="2"/>
      <c r="B131" s="3" t="s">
        <v>1306</v>
      </c>
      <c r="C131" s="3" t="s">
        <v>1307</v>
      </c>
      <c r="D131" s="4" t="str">
        <f>DEC2HEX(H131)</f>
        <v>8C</v>
      </c>
      <c r="E131" s="5">
        <v>2</v>
      </c>
      <c r="F131" s="2"/>
      <c r="G131">
        <f>HEX2DEC(F131)</f>
        <v>0</v>
      </c>
      <c r="H131">
        <v>140</v>
      </c>
    </row>
    <row r="132" ht="20" customHeight="1" spans="1:8">
      <c r="A132" s="2"/>
      <c r="B132" s="3" t="s">
        <v>1308</v>
      </c>
      <c r="C132" s="3" t="s">
        <v>1309</v>
      </c>
      <c r="D132" s="4" t="str">
        <f>DEC2HEX(H132)</f>
        <v>8D</v>
      </c>
      <c r="E132" s="5">
        <v>2</v>
      </c>
      <c r="F132" s="2"/>
      <c r="G132">
        <f>HEX2DEC(F132)</f>
        <v>0</v>
      </c>
      <c r="H132">
        <v>141</v>
      </c>
    </row>
    <row r="133" ht="20" customHeight="1" spans="1:8">
      <c r="A133" s="2"/>
      <c r="B133" s="3" t="s">
        <v>1310</v>
      </c>
      <c r="C133" s="3" t="s">
        <v>1311</v>
      </c>
      <c r="D133" s="4" t="str">
        <f>DEC2HEX(H133)</f>
        <v>8E</v>
      </c>
      <c r="E133" s="5">
        <v>2</v>
      </c>
      <c r="F133" s="2"/>
      <c r="G133">
        <f>HEX2DEC(F133)</f>
        <v>0</v>
      </c>
      <c r="H133">
        <v>142</v>
      </c>
    </row>
    <row r="134" ht="20" customHeight="1" spans="1:8">
      <c r="A134" s="2"/>
      <c r="B134" s="3" t="s">
        <v>1312</v>
      </c>
      <c r="C134" s="3" t="s">
        <v>1313</v>
      </c>
      <c r="D134" s="4" t="str">
        <f>DEC2HEX(H134)</f>
        <v>8F</v>
      </c>
      <c r="E134" s="5">
        <v>2</v>
      </c>
      <c r="F134" s="2"/>
      <c r="G134">
        <f>HEX2DEC(F134)</f>
        <v>0</v>
      </c>
      <c r="H134">
        <v>143</v>
      </c>
    </row>
    <row r="135" ht="20" customHeight="1" spans="1:8">
      <c r="A135" s="2" t="s">
        <v>163</v>
      </c>
      <c r="B135" s="3" t="s">
        <v>1314</v>
      </c>
      <c r="C135" s="3" t="s">
        <v>1315</v>
      </c>
      <c r="D135" s="4" t="str">
        <f>DEC2HEX(H135)</f>
        <v>85</v>
      </c>
      <c r="E135" s="5">
        <v>3</v>
      </c>
      <c r="F135" s="2">
        <v>85</v>
      </c>
      <c r="G135">
        <f>HEX2DEC(F135)</f>
        <v>133</v>
      </c>
      <c r="H135">
        <v>133</v>
      </c>
    </row>
    <row r="136" ht="20" customHeight="1" spans="1:8">
      <c r="A136" s="2" t="s">
        <v>182</v>
      </c>
      <c r="B136" s="3" t="s">
        <v>1316</v>
      </c>
      <c r="C136" s="3" t="s">
        <v>1317</v>
      </c>
      <c r="D136" s="4" t="str">
        <f>DEC2HEX(H136)</f>
        <v>90</v>
      </c>
      <c r="E136" s="5">
        <v>3</v>
      </c>
      <c r="F136" s="2">
        <v>90</v>
      </c>
      <c r="G136">
        <f>HEX2DEC(F136)</f>
        <v>144</v>
      </c>
      <c r="H136">
        <v>144</v>
      </c>
    </row>
    <row r="137" ht="20" customHeight="1" spans="1:8">
      <c r="A137" s="2" t="s">
        <v>149</v>
      </c>
      <c r="B137" s="3" t="s">
        <v>1318</v>
      </c>
      <c r="C137" s="3" t="s">
        <v>1319</v>
      </c>
      <c r="D137" s="4" t="str">
        <f>DEC2HEX(H137)</f>
        <v>78</v>
      </c>
      <c r="E137" s="5">
        <v>2</v>
      </c>
      <c r="F137" s="2">
        <v>78</v>
      </c>
      <c r="G137">
        <f>HEX2DEC(F137)</f>
        <v>120</v>
      </c>
      <c r="H137">
        <v>120</v>
      </c>
    </row>
    <row r="138" ht="20" customHeight="1" spans="1:8">
      <c r="A138" s="2"/>
      <c r="B138" s="3" t="s">
        <v>1320</v>
      </c>
      <c r="C138" s="3" t="s">
        <v>1321</v>
      </c>
      <c r="D138" s="4" t="str">
        <f t="shared" ref="D138:D201" si="5">DEC2HEX(H138)</f>
        <v>79</v>
      </c>
      <c r="E138" s="5">
        <v>2</v>
      </c>
      <c r="F138" s="2"/>
      <c r="G138">
        <f t="shared" ref="G138:G201" si="6">HEX2DEC(F138)</f>
        <v>0</v>
      </c>
      <c r="H138">
        <v>121</v>
      </c>
    </row>
    <row r="139" ht="20" customHeight="1" spans="1:8">
      <c r="A139" s="2"/>
      <c r="B139" s="3" t="s">
        <v>1322</v>
      </c>
      <c r="C139" s="3" t="s">
        <v>1323</v>
      </c>
      <c r="D139" s="4" t="str">
        <f t="shared" si="5"/>
        <v>7A</v>
      </c>
      <c r="E139" s="5">
        <v>2</v>
      </c>
      <c r="F139" s="2"/>
      <c r="G139">
        <f t="shared" si="6"/>
        <v>0</v>
      </c>
      <c r="H139">
        <v>122</v>
      </c>
    </row>
    <row r="140" ht="20" customHeight="1" spans="1:8">
      <c r="A140" s="2"/>
      <c r="B140" s="3" t="s">
        <v>1324</v>
      </c>
      <c r="C140" s="3" t="s">
        <v>1325</v>
      </c>
      <c r="D140" s="4" t="str">
        <f t="shared" si="5"/>
        <v>7B</v>
      </c>
      <c r="E140" s="5">
        <v>2</v>
      </c>
      <c r="F140" s="2"/>
      <c r="G140">
        <f t="shared" si="6"/>
        <v>0</v>
      </c>
      <c r="H140">
        <v>123</v>
      </c>
    </row>
    <row r="141" ht="20" customHeight="1" spans="1:8">
      <c r="A141" s="2"/>
      <c r="B141" s="3" t="s">
        <v>1326</v>
      </c>
      <c r="C141" s="3" t="s">
        <v>1327</v>
      </c>
      <c r="D141" s="4" t="str">
        <f t="shared" si="5"/>
        <v>7C</v>
      </c>
      <c r="E141" s="5">
        <v>2</v>
      </c>
      <c r="F141" s="2"/>
      <c r="G141">
        <f t="shared" si="6"/>
        <v>0</v>
      </c>
      <c r="H141">
        <v>124</v>
      </c>
    </row>
    <row r="142" ht="20" customHeight="1" spans="1:8">
      <c r="A142" s="2"/>
      <c r="B142" s="3" t="s">
        <v>1328</v>
      </c>
      <c r="C142" s="3" t="s">
        <v>1329</v>
      </c>
      <c r="D142" s="4" t="str">
        <f t="shared" si="5"/>
        <v>7D</v>
      </c>
      <c r="E142" s="5">
        <v>2</v>
      </c>
      <c r="F142" s="2"/>
      <c r="G142">
        <f t="shared" si="6"/>
        <v>0</v>
      </c>
      <c r="H142">
        <v>125</v>
      </c>
    </row>
    <row r="143" ht="20" customHeight="1" spans="1:8">
      <c r="A143" s="2"/>
      <c r="B143" s="3" t="s">
        <v>1330</v>
      </c>
      <c r="C143" s="3" t="s">
        <v>1331</v>
      </c>
      <c r="D143" s="4" t="str">
        <f t="shared" si="5"/>
        <v>7E</v>
      </c>
      <c r="E143" s="5">
        <v>2</v>
      </c>
      <c r="F143" s="2"/>
      <c r="G143">
        <f t="shared" si="6"/>
        <v>0</v>
      </c>
      <c r="H143">
        <v>126</v>
      </c>
    </row>
    <row r="144" ht="20" customHeight="1" spans="1:8">
      <c r="A144" s="2"/>
      <c r="B144" s="3" t="s">
        <v>1332</v>
      </c>
      <c r="C144" s="3" t="s">
        <v>1333</v>
      </c>
      <c r="D144" s="4" t="str">
        <f t="shared" si="5"/>
        <v>7F</v>
      </c>
      <c r="E144" s="5">
        <v>2</v>
      </c>
      <c r="F144" s="2"/>
      <c r="G144">
        <f t="shared" si="6"/>
        <v>0</v>
      </c>
      <c r="H144">
        <v>127</v>
      </c>
    </row>
    <row r="145" ht="20" customHeight="1" spans="1:8">
      <c r="A145" s="2" t="s">
        <v>135</v>
      </c>
      <c r="B145" s="3" t="s">
        <v>1334</v>
      </c>
      <c r="C145" s="3" t="s">
        <v>1335</v>
      </c>
      <c r="D145" s="4" t="str">
        <f t="shared" si="5"/>
        <v>F8</v>
      </c>
      <c r="E145" s="5">
        <v>1</v>
      </c>
      <c r="F145" s="2" t="s">
        <v>1336</v>
      </c>
      <c r="G145">
        <f t="shared" si="6"/>
        <v>248</v>
      </c>
      <c r="H145">
        <v>248</v>
      </c>
    </row>
    <row r="146" ht="20" customHeight="1" spans="1:8">
      <c r="A146" s="2"/>
      <c r="B146" s="3" t="s">
        <v>1337</v>
      </c>
      <c r="C146" s="3" t="s">
        <v>1338</v>
      </c>
      <c r="D146" s="4" t="str">
        <f t="shared" si="5"/>
        <v>F9</v>
      </c>
      <c r="E146" s="5">
        <v>1</v>
      </c>
      <c r="F146" s="2"/>
      <c r="G146">
        <f t="shared" si="6"/>
        <v>0</v>
      </c>
      <c r="H146">
        <v>249</v>
      </c>
    </row>
    <row r="147" ht="20" customHeight="1" spans="1:8">
      <c r="A147" s="2"/>
      <c r="B147" s="3" t="s">
        <v>1339</v>
      </c>
      <c r="C147" s="3" t="s">
        <v>1340</v>
      </c>
      <c r="D147" s="4" t="str">
        <f t="shared" si="5"/>
        <v>FA</v>
      </c>
      <c r="E147" s="5">
        <v>1</v>
      </c>
      <c r="F147" s="2"/>
      <c r="G147">
        <f t="shared" si="6"/>
        <v>0</v>
      </c>
      <c r="H147">
        <v>250</v>
      </c>
    </row>
    <row r="148" ht="20" customHeight="1" spans="1:8">
      <c r="A148" s="2"/>
      <c r="B148" s="3" t="s">
        <v>1341</v>
      </c>
      <c r="C148" s="3" t="s">
        <v>1342</v>
      </c>
      <c r="D148" s="4" t="str">
        <f t="shared" si="5"/>
        <v>FB</v>
      </c>
      <c r="E148" s="5">
        <v>1</v>
      </c>
      <c r="F148" s="2"/>
      <c r="G148">
        <f t="shared" si="6"/>
        <v>0</v>
      </c>
      <c r="H148">
        <v>251</v>
      </c>
    </row>
    <row r="149" ht="20" customHeight="1" spans="1:8">
      <c r="A149" s="2"/>
      <c r="B149" s="3" t="s">
        <v>1343</v>
      </c>
      <c r="C149" s="3" t="s">
        <v>1344</v>
      </c>
      <c r="D149" s="4" t="str">
        <f t="shared" si="5"/>
        <v>FC</v>
      </c>
      <c r="E149" s="5">
        <v>1</v>
      </c>
      <c r="F149" s="2"/>
      <c r="G149">
        <f t="shared" si="6"/>
        <v>0</v>
      </c>
      <c r="H149">
        <v>252</v>
      </c>
    </row>
    <row r="150" ht="20" customHeight="1" spans="1:8">
      <c r="A150" s="2"/>
      <c r="B150" s="3" t="s">
        <v>1345</v>
      </c>
      <c r="C150" s="3" t="s">
        <v>1346</v>
      </c>
      <c r="D150" s="4" t="str">
        <f t="shared" si="5"/>
        <v>FD</v>
      </c>
      <c r="E150" s="5">
        <v>1</v>
      </c>
      <c r="F150" s="2"/>
      <c r="G150">
        <f t="shared" si="6"/>
        <v>0</v>
      </c>
      <c r="H150">
        <v>253</v>
      </c>
    </row>
    <row r="151" ht="20" customHeight="1" spans="1:8">
      <c r="A151" s="2"/>
      <c r="B151" s="3" t="s">
        <v>1347</v>
      </c>
      <c r="C151" s="3" t="s">
        <v>1348</v>
      </c>
      <c r="D151" s="4" t="str">
        <f t="shared" si="5"/>
        <v>FE</v>
      </c>
      <c r="E151" s="5">
        <v>1</v>
      </c>
      <c r="F151" s="2"/>
      <c r="G151">
        <f t="shared" si="6"/>
        <v>0</v>
      </c>
      <c r="H151">
        <v>254</v>
      </c>
    </row>
    <row r="152" ht="20" customHeight="1" spans="1:8">
      <c r="A152" s="2"/>
      <c r="B152" s="3" t="s">
        <v>1349</v>
      </c>
      <c r="C152" s="3" t="s">
        <v>1350</v>
      </c>
      <c r="D152" s="4" t="str">
        <f t="shared" si="5"/>
        <v>FF</v>
      </c>
      <c r="E152" s="5">
        <v>1</v>
      </c>
      <c r="F152" s="2"/>
      <c r="G152">
        <f t="shared" si="6"/>
        <v>0</v>
      </c>
      <c r="H152">
        <v>255</v>
      </c>
    </row>
    <row r="153" ht="20" customHeight="1" spans="1:8">
      <c r="A153" s="2" t="s">
        <v>142</v>
      </c>
      <c r="B153" s="3" t="s">
        <v>1351</v>
      </c>
      <c r="C153" s="3" t="s">
        <v>1352</v>
      </c>
      <c r="D153" s="4" t="str">
        <f t="shared" si="5"/>
        <v>A8</v>
      </c>
      <c r="E153" s="5">
        <v>2</v>
      </c>
      <c r="F153" s="2" t="s">
        <v>1353</v>
      </c>
      <c r="G153">
        <f t="shared" si="6"/>
        <v>168</v>
      </c>
      <c r="H153">
        <v>168</v>
      </c>
    </row>
    <row r="154" ht="20" customHeight="1" spans="1:8">
      <c r="A154" s="2"/>
      <c r="B154" s="3" t="s">
        <v>1354</v>
      </c>
      <c r="C154" s="3" t="s">
        <v>1355</v>
      </c>
      <c r="D154" s="4" t="str">
        <f t="shared" si="5"/>
        <v>A9</v>
      </c>
      <c r="E154" s="5">
        <v>2</v>
      </c>
      <c r="F154" s="2"/>
      <c r="G154">
        <f t="shared" si="6"/>
        <v>0</v>
      </c>
      <c r="H154">
        <v>169</v>
      </c>
    </row>
    <row r="155" ht="20" customHeight="1" spans="1:8">
      <c r="A155" s="2"/>
      <c r="B155" s="3" t="s">
        <v>1356</v>
      </c>
      <c r="C155" s="3" t="s">
        <v>1357</v>
      </c>
      <c r="D155" s="4" t="str">
        <f t="shared" si="5"/>
        <v>AA</v>
      </c>
      <c r="E155" s="5">
        <v>2</v>
      </c>
      <c r="F155" s="2"/>
      <c r="G155">
        <f t="shared" si="6"/>
        <v>0</v>
      </c>
      <c r="H155">
        <v>170</v>
      </c>
    </row>
    <row r="156" ht="20" customHeight="1" spans="1:8">
      <c r="A156" s="2"/>
      <c r="B156" s="3" t="s">
        <v>1358</v>
      </c>
      <c r="C156" s="3" t="s">
        <v>1359</v>
      </c>
      <c r="D156" s="4" t="str">
        <f t="shared" si="5"/>
        <v>AB</v>
      </c>
      <c r="E156" s="5">
        <v>2</v>
      </c>
      <c r="F156" s="2"/>
      <c r="G156">
        <f t="shared" si="6"/>
        <v>0</v>
      </c>
      <c r="H156">
        <v>171</v>
      </c>
    </row>
    <row r="157" ht="20" customHeight="1" spans="1:8">
      <c r="A157" s="2"/>
      <c r="B157" s="3" t="s">
        <v>1360</v>
      </c>
      <c r="C157" s="3" t="s">
        <v>1361</v>
      </c>
      <c r="D157" s="4" t="str">
        <f t="shared" si="5"/>
        <v>AC</v>
      </c>
      <c r="E157" s="5">
        <v>2</v>
      </c>
      <c r="F157" s="2"/>
      <c r="G157">
        <f t="shared" si="6"/>
        <v>0</v>
      </c>
      <c r="H157">
        <v>172</v>
      </c>
    </row>
    <row r="158" ht="20" customHeight="1" spans="1:8">
      <c r="A158" s="2"/>
      <c r="B158" s="3" t="s">
        <v>1362</v>
      </c>
      <c r="C158" s="3" t="s">
        <v>1363</v>
      </c>
      <c r="D158" s="4" t="str">
        <f t="shared" si="5"/>
        <v>AD</v>
      </c>
      <c r="E158" s="5">
        <v>2</v>
      </c>
      <c r="F158" s="2"/>
      <c r="G158">
        <f t="shared" si="6"/>
        <v>0</v>
      </c>
      <c r="H158">
        <v>173</v>
      </c>
    </row>
    <row r="159" ht="20" customHeight="1" spans="1:8">
      <c r="A159" s="2"/>
      <c r="B159" s="3" t="s">
        <v>1364</v>
      </c>
      <c r="C159" s="3" t="s">
        <v>1365</v>
      </c>
      <c r="D159" s="4" t="str">
        <f t="shared" si="5"/>
        <v>AE</v>
      </c>
      <c r="E159" s="5">
        <v>2</v>
      </c>
      <c r="F159" s="2"/>
      <c r="G159">
        <f t="shared" si="6"/>
        <v>0</v>
      </c>
      <c r="H159">
        <v>174</v>
      </c>
    </row>
    <row r="160" ht="20" customHeight="1" spans="1:8">
      <c r="A160" s="2"/>
      <c r="B160" s="3" t="s">
        <v>1366</v>
      </c>
      <c r="C160" s="3" t="s">
        <v>1367</v>
      </c>
      <c r="D160" s="4" t="str">
        <f t="shared" si="5"/>
        <v>AF</v>
      </c>
      <c r="E160" s="5">
        <v>2</v>
      </c>
      <c r="F160" s="2"/>
      <c r="G160">
        <f t="shared" si="6"/>
        <v>0</v>
      </c>
      <c r="H160">
        <v>175</v>
      </c>
    </row>
    <row r="161" ht="20" customHeight="1" spans="1:8">
      <c r="A161" s="2">
        <v>93</v>
      </c>
      <c r="B161" s="3" t="s">
        <v>1368</v>
      </c>
      <c r="C161" s="3" t="s">
        <v>1369</v>
      </c>
      <c r="D161" s="4" t="str">
        <f t="shared" si="5"/>
        <v>93</v>
      </c>
      <c r="E161" s="5">
        <v>1</v>
      </c>
      <c r="F161" s="2">
        <v>93</v>
      </c>
      <c r="G161">
        <f t="shared" si="6"/>
        <v>147</v>
      </c>
      <c r="H161">
        <v>147</v>
      </c>
    </row>
    <row r="162" ht="20" customHeight="1" spans="1:8">
      <c r="A162" s="2">
        <v>83</v>
      </c>
      <c r="B162" s="3" t="s">
        <v>1370</v>
      </c>
      <c r="C162" s="3" t="s">
        <v>1371</v>
      </c>
      <c r="D162" s="4" t="str">
        <f t="shared" si="5"/>
        <v>83</v>
      </c>
      <c r="E162" s="5">
        <v>1</v>
      </c>
      <c r="F162" s="2">
        <v>83</v>
      </c>
      <c r="G162">
        <f t="shared" si="6"/>
        <v>131</v>
      </c>
      <c r="H162">
        <v>131</v>
      </c>
    </row>
    <row r="163" ht="20" customHeight="1" spans="1:8">
      <c r="A163" s="2" t="s">
        <v>200</v>
      </c>
      <c r="B163" s="3" t="s">
        <v>1372</v>
      </c>
      <c r="C163" s="3" t="s">
        <v>1373</v>
      </c>
      <c r="D163" s="4" t="str">
        <f t="shared" si="5"/>
        <v>F0</v>
      </c>
      <c r="E163" s="5">
        <v>1</v>
      </c>
      <c r="F163" s="2" t="s">
        <v>124</v>
      </c>
      <c r="G163">
        <f t="shared" si="6"/>
        <v>240</v>
      </c>
      <c r="H163">
        <v>240</v>
      </c>
    </row>
    <row r="164" ht="20" customHeight="1" spans="1:8">
      <c r="A164" s="2" t="s">
        <v>194</v>
      </c>
      <c r="B164" s="3" t="s">
        <v>1374</v>
      </c>
      <c r="C164" s="3" t="s">
        <v>1375</v>
      </c>
      <c r="D164" s="4" t="str">
        <f t="shared" si="5"/>
        <v>F2</v>
      </c>
      <c r="E164" s="5">
        <v>1</v>
      </c>
      <c r="F164" s="2" t="s">
        <v>1376</v>
      </c>
      <c r="G164">
        <f t="shared" si="6"/>
        <v>242</v>
      </c>
      <c r="H164">
        <v>242</v>
      </c>
    </row>
    <row r="165" ht="20" customHeight="1" spans="1:8">
      <c r="A165" s="2"/>
      <c r="B165" s="3" t="s">
        <v>1377</v>
      </c>
      <c r="C165" s="3" t="s">
        <v>1378</v>
      </c>
      <c r="D165" s="4" t="str">
        <f t="shared" si="5"/>
        <v>F3</v>
      </c>
      <c r="E165" s="5">
        <v>1</v>
      </c>
      <c r="F165" s="2"/>
      <c r="G165">
        <f t="shared" si="6"/>
        <v>0</v>
      </c>
      <c r="H165">
        <v>243</v>
      </c>
    </row>
    <row r="166" ht="20" customHeight="1" spans="1:8">
      <c r="A166" s="2" t="s">
        <v>197</v>
      </c>
      <c r="B166" s="3" t="s">
        <v>1379</v>
      </c>
      <c r="C166" s="3" t="s">
        <v>1380</v>
      </c>
      <c r="D166" s="4" t="str">
        <f t="shared" si="5"/>
        <v>E0</v>
      </c>
      <c r="E166" s="5">
        <v>1</v>
      </c>
      <c r="F166" s="2" t="s">
        <v>1381</v>
      </c>
      <c r="G166">
        <f t="shared" si="6"/>
        <v>224</v>
      </c>
      <c r="H166">
        <v>224</v>
      </c>
    </row>
    <row r="167" ht="20" customHeight="1" spans="1:8">
      <c r="A167" s="2" t="s">
        <v>191</v>
      </c>
      <c r="B167" s="3" t="s">
        <v>1382</v>
      </c>
      <c r="C167" s="3" t="s">
        <v>1383</v>
      </c>
      <c r="D167" s="4" t="str">
        <f t="shared" si="5"/>
        <v>E2</v>
      </c>
      <c r="E167" s="5">
        <v>1</v>
      </c>
      <c r="F167" s="2" t="s">
        <v>1384</v>
      </c>
      <c r="G167">
        <f t="shared" si="6"/>
        <v>226</v>
      </c>
      <c r="H167">
        <v>226</v>
      </c>
    </row>
    <row r="168" ht="20" customHeight="1" spans="1:8">
      <c r="A168" s="2"/>
      <c r="B168" s="3" t="s">
        <v>1385</v>
      </c>
      <c r="C168" s="3" t="s">
        <v>1386</v>
      </c>
      <c r="D168" s="4" t="str">
        <f t="shared" si="5"/>
        <v>E3</v>
      </c>
      <c r="E168" s="5">
        <v>1</v>
      </c>
      <c r="F168" s="2"/>
      <c r="G168">
        <f t="shared" si="6"/>
        <v>0</v>
      </c>
      <c r="H168">
        <v>227</v>
      </c>
    </row>
    <row r="169" ht="20" customHeight="1" spans="1:8">
      <c r="A169" s="2" t="s">
        <v>291</v>
      </c>
      <c r="B169" s="3" t="s">
        <v>1387</v>
      </c>
      <c r="C169" s="3" t="s">
        <v>1388</v>
      </c>
      <c r="D169" s="4" t="str">
        <f t="shared" si="5"/>
        <v>A4</v>
      </c>
      <c r="E169" s="5">
        <v>1</v>
      </c>
      <c r="F169" s="2" t="s">
        <v>1389</v>
      </c>
      <c r="G169">
        <f t="shared" si="6"/>
        <v>164</v>
      </c>
      <c r="H169">
        <v>164</v>
      </c>
    </row>
    <row r="170" ht="20" customHeight="1" spans="1:8">
      <c r="A170" s="2">
        <v>0</v>
      </c>
      <c r="B170" s="3" t="s">
        <v>919</v>
      </c>
      <c r="C170" s="3" t="s">
        <v>919</v>
      </c>
      <c r="D170" s="6" t="str">
        <f t="shared" si="5"/>
        <v>0</v>
      </c>
      <c r="E170" s="5">
        <v>1</v>
      </c>
      <c r="F170" s="2">
        <v>0</v>
      </c>
      <c r="G170">
        <f t="shared" si="6"/>
        <v>0</v>
      </c>
      <c r="H170">
        <v>0</v>
      </c>
    </row>
    <row r="171" ht="20" customHeight="1" spans="1:8">
      <c r="A171" s="2" t="s">
        <v>325</v>
      </c>
      <c r="B171" s="3" t="s">
        <v>1390</v>
      </c>
      <c r="C171" s="3" t="s">
        <v>1391</v>
      </c>
      <c r="D171" s="4" t="str">
        <f t="shared" si="5"/>
        <v>44</v>
      </c>
      <c r="E171" s="5">
        <v>2</v>
      </c>
      <c r="F171" s="2">
        <v>44</v>
      </c>
      <c r="G171">
        <f t="shared" si="6"/>
        <v>68</v>
      </c>
      <c r="H171">
        <v>68</v>
      </c>
    </row>
    <row r="172" ht="20" customHeight="1" spans="1:8">
      <c r="A172" s="2" t="s">
        <v>322</v>
      </c>
      <c r="B172" s="3" t="s">
        <v>1392</v>
      </c>
      <c r="C172" s="3" t="s">
        <v>1393</v>
      </c>
      <c r="D172" s="4" t="str">
        <f t="shared" si="5"/>
        <v>46</v>
      </c>
      <c r="E172" s="5">
        <v>1</v>
      </c>
      <c r="F172" s="2">
        <v>46</v>
      </c>
      <c r="G172">
        <f t="shared" si="6"/>
        <v>70</v>
      </c>
      <c r="H172">
        <v>70</v>
      </c>
    </row>
    <row r="173" ht="20" customHeight="1" spans="1:8">
      <c r="A173" s="2"/>
      <c r="B173" s="3" t="s">
        <v>1394</v>
      </c>
      <c r="C173" s="3" t="s">
        <v>1395</v>
      </c>
      <c r="D173" s="4" t="str">
        <f t="shared" si="5"/>
        <v>47</v>
      </c>
      <c r="E173" s="5">
        <v>1</v>
      </c>
      <c r="F173" s="2"/>
      <c r="G173">
        <f t="shared" si="6"/>
        <v>0</v>
      </c>
      <c r="H173">
        <v>71</v>
      </c>
    </row>
    <row r="174" ht="20" customHeight="1" spans="1:8">
      <c r="A174" s="2" t="s">
        <v>319</v>
      </c>
      <c r="B174" s="3" t="s">
        <v>1396</v>
      </c>
      <c r="C174" s="3" t="s">
        <v>1397</v>
      </c>
      <c r="D174" s="4" t="str">
        <f t="shared" si="5"/>
        <v>45</v>
      </c>
      <c r="E174" s="5">
        <v>2</v>
      </c>
      <c r="F174" s="2">
        <v>45</v>
      </c>
      <c r="G174">
        <f t="shared" si="6"/>
        <v>69</v>
      </c>
      <c r="H174">
        <v>69</v>
      </c>
    </row>
    <row r="175" ht="20" customHeight="1" spans="1:8">
      <c r="A175" s="2" t="s">
        <v>316</v>
      </c>
      <c r="B175" s="3" t="s">
        <v>1398</v>
      </c>
      <c r="C175" s="3" t="s">
        <v>1399</v>
      </c>
      <c r="D175" s="4" t="str">
        <f t="shared" si="5"/>
        <v>48</v>
      </c>
      <c r="E175" s="5">
        <v>1</v>
      </c>
      <c r="F175" s="2">
        <v>48</v>
      </c>
      <c r="G175">
        <f t="shared" si="6"/>
        <v>72</v>
      </c>
      <c r="H175">
        <v>72</v>
      </c>
    </row>
    <row r="176" ht="20" customHeight="1" spans="1:8">
      <c r="A176" s="2"/>
      <c r="B176" s="3" t="s">
        <v>1400</v>
      </c>
      <c r="C176" s="3" t="s">
        <v>1401</v>
      </c>
      <c r="D176" s="4" t="str">
        <f t="shared" si="5"/>
        <v>49</v>
      </c>
      <c r="E176" s="5">
        <v>1</v>
      </c>
      <c r="F176" s="2"/>
      <c r="G176">
        <f t="shared" si="6"/>
        <v>0</v>
      </c>
      <c r="H176">
        <v>73</v>
      </c>
    </row>
    <row r="177" ht="20" customHeight="1" spans="1:8">
      <c r="A177" s="2"/>
      <c r="B177" s="3" t="s">
        <v>1402</v>
      </c>
      <c r="C177" s="3" t="s">
        <v>1403</v>
      </c>
      <c r="D177" s="4" t="str">
        <f t="shared" si="5"/>
        <v>4A</v>
      </c>
      <c r="E177" s="5">
        <v>1</v>
      </c>
      <c r="F177" s="2"/>
      <c r="G177">
        <f t="shared" si="6"/>
        <v>0</v>
      </c>
      <c r="H177">
        <v>74</v>
      </c>
    </row>
    <row r="178" ht="20" customHeight="1" spans="1:8">
      <c r="A178" s="2"/>
      <c r="B178" s="3" t="s">
        <v>1404</v>
      </c>
      <c r="C178" s="3" t="s">
        <v>1405</v>
      </c>
      <c r="D178" s="4" t="str">
        <f t="shared" si="5"/>
        <v>4B</v>
      </c>
      <c r="E178" s="5">
        <v>1</v>
      </c>
      <c r="F178" s="2"/>
      <c r="G178">
        <f t="shared" si="6"/>
        <v>0</v>
      </c>
      <c r="H178">
        <v>75</v>
      </c>
    </row>
    <row r="179" ht="20" customHeight="1" spans="1:8">
      <c r="A179" s="2"/>
      <c r="B179" s="3" t="s">
        <v>1406</v>
      </c>
      <c r="C179" s="3" t="s">
        <v>1407</v>
      </c>
      <c r="D179" s="4" t="str">
        <f t="shared" si="5"/>
        <v>4C</v>
      </c>
      <c r="E179" s="5">
        <v>1</v>
      </c>
      <c r="F179" s="2"/>
      <c r="G179">
        <f t="shared" si="6"/>
        <v>0</v>
      </c>
      <c r="H179">
        <v>76</v>
      </c>
    </row>
    <row r="180" ht="20" customHeight="1" spans="1:8">
      <c r="A180" s="2"/>
      <c r="B180" s="3" t="s">
        <v>1408</v>
      </c>
      <c r="C180" s="3" t="s">
        <v>1409</v>
      </c>
      <c r="D180" s="4" t="str">
        <f t="shared" si="5"/>
        <v>4D</v>
      </c>
      <c r="E180" s="5">
        <v>1</v>
      </c>
      <c r="F180" s="2"/>
      <c r="G180">
        <f t="shared" si="6"/>
        <v>0</v>
      </c>
      <c r="H180">
        <v>77</v>
      </c>
    </row>
    <row r="181" ht="20" customHeight="1" spans="1:8">
      <c r="A181" s="2"/>
      <c r="B181" s="3" t="s">
        <v>1410</v>
      </c>
      <c r="C181" s="3" t="s">
        <v>1411</v>
      </c>
      <c r="D181" s="4" t="str">
        <f t="shared" si="5"/>
        <v>4E</v>
      </c>
      <c r="E181" s="5">
        <v>1</v>
      </c>
      <c r="F181" s="2"/>
      <c r="G181">
        <f t="shared" si="6"/>
        <v>0</v>
      </c>
      <c r="H181">
        <v>78</v>
      </c>
    </row>
    <row r="182" ht="20" customHeight="1" spans="1:8">
      <c r="A182" s="2"/>
      <c r="B182" s="3" t="s">
        <v>1412</v>
      </c>
      <c r="C182" s="3" t="s">
        <v>1413</v>
      </c>
      <c r="D182" s="4" t="str">
        <f t="shared" si="5"/>
        <v>4F</v>
      </c>
      <c r="E182" s="5">
        <v>1</v>
      </c>
      <c r="F182" s="2"/>
      <c r="G182">
        <f t="shared" si="6"/>
        <v>0</v>
      </c>
      <c r="H182">
        <v>79</v>
      </c>
    </row>
    <row r="183" ht="20" customHeight="1" spans="1:8">
      <c r="A183" s="2" t="s">
        <v>446</v>
      </c>
      <c r="B183" s="3" t="s">
        <v>1414</v>
      </c>
      <c r="C183" s="3" t="s">
        <v>1415</v>
      </c>
      <c r="D183" s="4" t="str">
        <f t="shared" si="5"/>
        <v>A0</v>
      </c>
      <c r="E183" s="5">
        <v>2</v>
      </c>
      <c r="F183" s="2" t="s">
        <v>1416</v>
      </c>
      <c r="G183">
        <f t="shared" si="6"/>
        <v>160</v>
      </c>
      <c r="H183">
        <v>160</v>
      </c>
    </row>
    <row r="184" ht="20" customHeight="1" spans="1:8">
      <c r="A184" s="2" t="s">
        <v>443</v>
      </c>
      <c r="B184" s="3" t="s">
        <v>1417</v>
      </c>
      <c r="C184" s="3" t="s">
        <v>1418</v>
      </c>
      <c r="D184" s="4" t="str">
        <f t="shared" si="5"/>
        <v>72</v>
      </c>
      <c r="E184" s="5">
        <v>2</v>
      </c>
      <c r="F184" s="2">
        <v>72</v>
      </c>
      <c r="G184">
        <f t="shared" si="6"/>
        <v>114</v>
      </c>
      <c r="H184">
        <v>114</v>
      </c>
    </row>
    <row r="185" ht="20" customHeight="1" spans="1:8">
      <c r="A185" s="2" t="s">
        <v>363</v>
      </c>
      <c r="B185" s="3" t="s">
        <v>1419</v>
      </c>
      <c r="C185" s="3" t="s">
        <v>1420</v>
      </c>
      <c r="D185" s="4" t="str">
        <f t="shared" si="5"/>
        <v>42</v>
      </c>
      <c r="E185" s="5">
        <v>3</v>
      </c>
      <c r="F185" s="2">
        <v>42</v>
      </c>
      <c r="G185">
        <f t="shared" si="6"/>
        <v>66</v>
      </c>
      <c r="H185">
        <v>66</v>
      </c>
    </row>
    <row r="186" ht="20" customHeight="1" spans="1:8">
      <c r="A186" s="2" t="s">
        <v>207</v>
      </c>
      <c r="B186" s="3" t="s">
        <v>1421</v>
      </c>
      <c r="C186" s="3" t="s">
        <v>1422</v>
      </c>
      <c r="D186" s="4" t="str">
        <f t="shared" si="5"/>
        <v>D0</v>
      </c>
      <c r="E186" s="5">
        <v>2</v>
      </c>
      <c r="F186" s="2" t="s">
        <v>1423</v>
      </c>
      <c r="G186">
        <f t="shared" si="6"/>
        <v>208</v>
      </c>
      <c r="H186">
        <v>208</v>
      </c>
    </row>
    <row r="187" ht="20" customHeight="1" spans="1:8">
      <c r="A187" s="2" t="s">
        <v>204</v>
      </c>
      <c r="B187" s="3" t="s">
        <v>1424</v>
      </c>
      <c r="C187" s="3" t="s">
        <v>1425</v>
      </c>
      <c r="D187" s="4" t="str">
        <f t="shared" si="5"/>
        <v>C0</v>
      </c>
      <c r="E187" s="5">
        <v>2</v>
      </c>
      <c r="F187" s="2" t="s">
        <v>1426</v>
      </c>
      <c r="G187">
        <f t="shared" si="6"/>
        <v>192</v>
      </c>
      <c r="H187">
        <v>192</v>
      </c>
    </row>
    <row r="188" ht="20" customHeight="1" spans="1:8">
      <c r="A188" s="2">
        <v>22</v>
      </c>
      <c r="B188" s="3" t="s">
        <v>920</v>
      </c>
      <c r="C188" s="3" t="s">
        <v>920</v>
      </c>
      <c r="D188" s="6" t="str">
        <f t="shared" si="5"/>
        <v>22</v>
      </c>
      <c r="E188" s="5">
        <v>1</v>
      </c>
      <c r="F188" s="2">
        <v>22</v>
      </c>
      <c r="G188">
        <f t="shared" si="6"/>
        <v>34</v>
      </c>
      <c r="H188">
        <v>34</v>
      </c>
    </row>
    <row r="189" ht="20" customHeight="1" spans="1:8">
      <c r="A189" s="2">
        <v>32</v>
      </c>
      <c r="B189" s="3" t="s">
        <v>921</v>
      </c>
      <c r="C189" s="3" t="s">
        <v>921</v>
      </c>
      <c r="D189" s="6" t="str">
        <f t="shared" si="5"/>
        <v>32</v>
      </c>
      <c r="E189" s="5">
        <v>1</v>
      </c>
      <c r="F189" s="2">
        <v>32</v>
      </c>
      <c r="G189">
        <f t="shared" si="6"/>
        <v>50</v>
      </c>
      <c r="H189">
        <v>50</v>
      </c>
    </row>
    <row r="190" ht="20" customHeight="1" spans="1:8">
      <c r="A190" s="2">
        <v>23</v>
      </c>
      <c r="B190" s="3" t="s">
        <v>1427</v>
      </c>
      <c r="C190" s="3" t="s">
        <v>1428</v>
      </c>
      <c r="D190" s="4" t="str">
        <f t="shared" si="5"/>
        <v>23</v>
      </c>
      <c r="E190" s="5">
        <v>1</v>
      </c>
      <c r="F190" s="2">
        <v>23</v>
      </c>
      <c r="G190">
        <f t="shared" si="6"/>
        <v>35</v>
      </c>
      <c r="H190">
        <v>35</v>
      </c>
    </row>
    <row r="191" ht="20" customHeight="1" spans="1:8">
      <c r="A191" s="2">
        <v>33</v>
      </c>
      <c r="B191" s="3" t="s">
        <v>1429</v>
      </c>
      <c r="C191" s="3" t="s">
        <v>1430</v>
      </c>
      <c r="D191" s="4" t="str">
        <f t="shared" si="5"/>
        <v>33</v>
      </c>
      <c r="E191" s="5">
        <v>1</v>
      </c>
      <c r="F191" s="2">
        <v>33</v>
      </c>
      <c r="G191">
        <f t="shared" si="6"/>
        <v>51</v>
      </c>
      <c r="H191">
        <v>51</v>
      </c>
    </row>
    <row r="192" ht="20" customHeight="1" spans="1:8">
      <c r="A192" s="2">
        <v>3</v>
      </c>
      <c r="B192" s="3" t="s">
        <v>1431</v>
      </c>
      <c r="C192" s="3" t="s">
        <v>1432</v>
      </c>
      <c r="D192" s="4" t="str">
        <f t="shared" si="5"/>
        <v>3</v>
      </c>
      <c r="E192" s="5">
        <v>1</v>
      </c>
      <c r="F192" s="2">
        <v>3</v>
      </c>
      <c r="G192">
        <f t="shared" si="6"/>
        <v>3</v>
      </c>
      <c r="H192">
        <v>3</v>
      </c>
    </row>
    <row r="193" ht="20" customHeight="1" spans="1:8">
      <c r="A193" s="2">
        <v>13</v>
      </c>
      <c r="B193" s="3" t="s">
        <v>1433</v>
      </c>
      <c r="C193" s="3" t="s">
        <v>1434</v>
      </c>
      <c r="D193" s="4" t="str">
        <f t="shared" si="5"/>
        <v>13</v>
      </c>
      <c r="E193" s="5">
        <v>1</v>
      </c>
      <c r="F193" s="2">
        <v>13</v>
      </c>
      <c r="G193">
        <f t="shared" si="6"/>
        <v>19</v>
      </c>
      <c r="H193">
        <v>19</v>
      </c>
    </row>
    <row r="194" ht="20" customHeight="1" spans="1:8">
      <c r="A194" s="2" t="s">
        <v>459</v>
      </c>
      <c r="B194" s="3" t="s">
        <v>1435</v>
      </c>
      <c r="C194" s="3" t="s">
        <v>1436</v>
      </c>
      <c r="D194" s="4" t="str">
        <f t="shared" si="5"/>
        <v>D2</v>
      </c>
      <c r="E194" s="5">
        <v>2</v>
      </c>
      <c r="F194" s="2" t="s">
        <v>1437</v>
      </c>
      <c r="G194">
        <f t="shared" si="6"/>
        <v>210</v>
      </c>
      <c r="H194">
        <v>210</v>
      </c>
    </row>
    <row r="195" ht="20" customHeight="1" spans="1:8">
      <c r="A195" s="2" t="s">
        <v>456</v>
      </c>
      <c r="B195" s="3" t="s">
        <v>1438</v>
      </c>
      <c r="C195" s="3" t="s">
        <v>1439</v>
      </c>
      <c r="D195" s="4" t="str">
        <f t="shared" si="5"/>
        <v>D3</v>
      </c>
      <c r="E195" s="5">
        <v>1</v>
      </c>
      <c r="F195" s="2" t="s">
        <v>1440</v>
      </c>
      <c r="G195">
        <f t="shared" si="6"/>
        <v>211</v>
      </c>
      <c r="H195">
        <v>211</v>
      </c>
    </row>
    <row r="196" ht="20" customHeight="1" spans="1:8">
      <c r="A196" s="2" t="s">
        <v>377</v>
      </c>
      <c r="B196" s="3" t="s">
        <v>1441</v>
      </c>
      <c r="C196" s="3" t="s">
        <v>1442</v>
      </c>
      <c r="D196" s="4" t="str">
        <f t="shared" si="5"/>
        <v>80</v>
      </c>
      <c r="E196" s="5">
        <v>2</v>
      </c>
      <c r="F196" s="2">
        <v>80</v>
      </c>
      <c r="G196">
        <f t="shared" si="6"/>
        <v>128</v>
      </c>
      <c r="H196">
        <v>128</v>
      </c>
    </row>
    <row r="197" ht="20" customHeight="1" spans="1:8">
      <c r="A197" s="2" t="s">
        <v>261</v>
      </c>
      <c r="B197" s="3" t="s">
        <v>1443</v>
      </c>
      <c r="C197" s="3" t="s">
        <v>1444</v>
      </c>
      <c r="D197" s="4" t="str">
        <f t="shared" si="5"/>
        <v>94</v>
      </c>
      <c r="E197" s="5">
        <v>2</v>
      </c>
      <c r="F197" s="2">
        <v>94</v>
      </c>
      <c r="G197">
        <f t="shared" si="6"/>
        <v>148</v>
      </c>
      <c r="H197">
        <v>148</v>
      </c>
    </row>
    <row r="198" ht="20" customHeight="1" spans="1:8">
      <c r="A198" s="2" t="s">
        <v>258</v>
      </c>
      <c r="B198" s="3" t="s">
        <v>1445</v>
      </c>
      <c r="C198" s="3" t="s">
        <v>1446</v>
      </c>
      <c r="D198" s="4" t="str">
        <f t="shared" si="5"/>
        <v>96</v>
      </c>
      <c r="E198" s="5">
        <v>1</v>
      </c>
      <c r="F198" s="2">
        <v>96</v>
      </c>
      <c r="G198">
        <f t="shared" si="6"/>
        <v>150</v>
      </c>
      <c r="H198">
        <v>150</v>
      </c>
    </row>
    <row r="199" ht="20" customHeight="1" spans="1:8">
      <c r="A199" s="2"/>
      <c r="B199" s="3" t="s">
        <v>1447</v>
      </c>
      <c r="C199" s="3" t="s">
        <v>1448</v>
      </c>
      <c r="D199" s="4" t="str">
        <f t="shared" si="5"/>
        <v>97</v>
      </c>
      <c r="E199" s="5">
        <v>1</v>
      </c>
      <c r="F199" s="2"/>
      <c r="G199">
        <f t="shared" si="6"/>
        <v>0</v>
      </c>
      <c r="H199">
        <v>151</v>
      </c>
    </row>
    <row r="200" ht="20" customHeight="1" spans="1:8">
      <c r="A200" s="2" t="s">
        <v>255</v>
      </c>
      <c r="B200" s="3" t="s">
        <v>1449</v>
      </c>
      <c r="C200" s="3" t="s">
        <v>1450</v>
      </c>
      <c r="D200" s="4" t="str">
        <f t="shared" si="5"/>
        <v>95</v>
      </c>
      <c r="E200" s="5">
        <v>2</v>
      </c>
      <c r="F200" s="2">
        <v>95</v>
      </c>
      <c r="G200">
        <f t="shared" si="6"/>
        <v>149</v>
      </c>
      <c r="H200">
        <v>149</v>
      </c>
    </row>
    <row r="201" ht="20" customHeight="1" spans="1:8">
      <c r="A201" s="2" t="s">
        <v>252</v>
      </c>
      <c r="B201" s="3" t="s">
        <v>1451</v>
      </c>
      <c r="C201" s="3" t="s">
        <v>1452</v>
      </c>
      <c r="D201" s="4" t="str">
        <f t="shared" si="5"/>
        <v>98</v>
      </c>
      <c r="E201" s="5">
        <v>1</v>
      </c>
      <c r="F201" s="2">
        <v>98</v>
      </c>
      <c r="G201">
        <f t="shared" si="6"/>
        <v>152</v>
      </c>
      <c r="H201">
        <v>152</v>
      </c>
    </row>
    <row r="202" ht="20" customHeight="1" spans="1:8">
      <c r="A202" s="2"/>
      <c r="B202" s="3" t="s">
        <v>1453</v>
      </c>
      <c r="C202" s="3" t="s">
        <v>1454</v>
      </c>
      <c r="D202" s="4" t="str">
        <f t="shared" ref="D202:D235" si="7">DEC2HEX(H202)</f>
        <v>99</v>
      </c>
      <c r="E202" s="5">
        <v>1</v>
      </c>
      <c r="F202" s="2"/>
      <c r="G202">
        <f t="shared" ref="G202:G235" si="8">HEX2DEC(F202)</f>
        <v>0</v>
      </c>
      <c r="H202">
        <v>153</v>
      </c>
    </row>
    <row r="203" ht="20" customHeight="1" spans="1:8">
      <c r="A203" s="2"/>
      <c r="B203" s="3" t="s">
        <v>1455</v>
      </c>
      <c r="C203" s="3" t="s">
        <v>1456</v>
      </c>
      <c r="D203" s="4" t="str">
        <f t="shared" si="7"/>
        <v>9A</v>
      </c>
      <c r="E203" s="5">
        <v>1</v>
      </c>
      <c r="F203" s="2"/>
      <c r="G203">
        <f t="shared" si="8"/>
        <v>0</v>
      </c>
      <c r="H203">
        <v>154</v>
      </c>
    </row>
    <row r="204" ht="20" customHeight="1" spans="1:8">
      <c r="A204" s="2"/>
      <c r="B204" s="3" t="s">
        <v>1457</v>
      </c>
      <c r="C204" s="3" t="s">
        <v>1458</v>
      </c>
      <c r="D204" s="4" t="str">
        <f t="shared" si="7"/>
        <v>9B</v>
      </c>
      <c r="E204" s="5">
        <v>1</v>
      </c>
      <c r="F204" s="2"/>
      <c r="G204">
        <f t="shared" si="8"/>
        <v>0</v>
      </c>
      <c r="H204">
        <v>155</v>
      </c>
    </row>
    <row r="205" ht="20" customHeight="1" spans="1:8">
      <c r="A205" s="2"/>
      <c r="B205" s="3" t="s">
        <v>1459</v>
      </c>
      <c r="C205" s="3" t="s">
        <v>1460</v>
      </c>
      <c r="D205" s="4" t="str">
        <f t="shared" si="7"/>
        <v>9C</v>
      </c>
      <c r="E205" s="5">
        <v>1</v>
      </c>
      <c r="F205" s="2"/>
      <c r="G205">
        <f t="shared" si="8"/>
        <v>0</v>
      </c>
      <c r="H205">
        <v>156</v>
      </c>
    </row>
    <row r="206" ht="20" customHeight="1" spans="1:8">
      <c r="A206" s="2"/>
      <c r="B206" s="3" t="s">
        <v>1461</v>
      </c>
      <c r="C206" s="3" t="s">
        <v>1462</v>
      </c>
      <c r="D206" s="4" t="str">
        <f t="shared" si="7"/>
        <v>9D</v>
      </c>
      <c r="E206" s="5">
        <v>1</v>
      </c>
      <c r="F206" s="2"/>
      <c r="G206">
        <f t="shared" si="8"/>
        <v>0</v>
      </c>
      <c r="H206">
        <v>157</v>
      </c>
    </row>
    <row r="207" ht="20" customHeight="1" spans="1:8">
      <c r="A207" s="2"/>
      <c r="B207" s="3" t="s">
        <v>1463</v>
      </c>
      <c r="C207" s="3" t="s">
        <v>1464</v>
      </c>
      <c r="D207" s="4" t="str">
        <f t="shared" si="7"/>
        <v>9E</v>
      </c>
      <c r="E207" s="5">
        <v>1</v>
      </c>
      <c r="F207" s="2"/>
      <c r="G207">
        <f t="shared" si="8"/>
        <v>0</v>
      </c>
      <c r="H207">
        <v>158</v>
      </c>
    </row>
    <row r="208" ht="20" customHeight="1" spans="1:8">
      <c r="A208" s="2"/>
      <c r="B208" s="3" t="s">
        <v>1465</v>
      </c>
      <c r="C208" s="3" t="s">
        <v>1466</v>
      </c>
      <c r="D208" s="4" t="str">
        <f t="shared" si="7"/>
        <v>9F</v>
      </c>
      <c r="E208" s="5">
        <v>1</v>
      </c>
      <c r="F208" s="2"/>
      <c r="G208">
        <f t="shared" si="8"/>
        <v>0</v>
      </c>
      <c r="H208">
        <v>159</v>
      </c>
    </row>
    <row r="209" ht="20" customHeight="1" spans="1:8">
      <c r="A209" s="2" t="s">
        <v>356</v>
      </c>
      <c r="B209" s="3" t="s">
        <v>1467</v>
      </c>
      <c r="C209" s="3" t="s">
        <v>1468</v>
      </c>
      <c r="D209" s="4" t="str">
        <f t="shared" si="7"/>
        <v>C4</v>
      </c>
      <c r="E209" s="5">
        <v>1</v>
      </c>
      <c r="F209" s="2" t="s">
        <v>1469</v>
      </c>
      <c r="G209">
        <f t="shared" si="8"/>
        <v>196</v>
      </c>
      <c r="H209">
        <v>196</v>
      </c>
    </row>
    <row r="210" ht="20" customHeight="1" spans="1:8">
      <c r="A210" s="2" t="s">
        <v>211</v>
      </c>
      <c r="B210" s="3" t="s">
        <v>1470</v>
      </c>
      <c r="C210" s="3" t="s">
        <v>1471</v>
      </c>
      <c r="D210" s="4" t="str">
        <f t="shared" si="7"/>
        <v>C6</v>
      </c>
      <c r="E210" s="5">
        <v>1</v>
      </c>
      <c r="F210" s="2" t="s">
        <v>1472</v>
      </c>
      <c r="G210">
        <f t="shared" si="8"/>
        <v>198</v>
      </c>
      <c r="H210">
        <v>198</v>
      </c>
    </row>
    <row r="211" ht="20" customHeight="1" spans="1:8">
      <c r="A211" s="2"/>
      <c r="B211" s="3" t="s">
        <v>1473</v>
      </c>
      <c r="C211" s="3" t="s">
        <v>1474</v>
      </c>
      <c r="D211" s="4" t="str">
        <f t="shared" si="7"/>
        <v>C7</v>
      </c>
      <c r="E211" s="5">
        <v>1</v>
      </c>
      <c r="F211" s="2"/>
      <c r="G211">
        <f t="shared" si="8"/>
        <v>0</v>
      </c>
      <c r="H211">
        <v>199</v>
      </c>
    </row>
    <row r="212" ht="20" customHeight="1" spans="1:8">
      <c r="A212" s="2" t="s">
        <v>217</v>
      </c>
      <c r="B212" s="3" t="s">
        <v>1475</v>
      </c>
      <c r="C212" s="3" t="s">
        <v>1476</v>
      </c>
      <c r="D212" s="4" t="str">
        <f t="shared" si="7"/>
        <v>C5</v>
      </c>
      <c r="E212" s="5">
        <v>2</v>
      </c>
      <c r="F212" s="2" t="s">
        <v>1477</v>
      </c>
      <c r="G212">
        <f t="shared" si="8"/>
        <v>197</v>
      </c>
      <c r="H212">
        <v>197</v>
      </c>
    </row>
    <row r="213" ht="20" customHeight="1" spans="1:8">
      <c r="A213" s="2" t="s">
        <v>214</v>
      </c>
      <c r="B213" s="3" t="s">
        <v>1478</v>
      </c>
      <c r="C213" s="3" t="s">
        <v>1479</v>
      </c>
      <c r="D213" s="4" t="str">
        <f t="shared" si="7"/>
        <v>C8</v>
      </c>
      <c r="E213" s="5">
        <v>1</v>
      </c>
      <c r="F213" s="2" t="s">
        <v>1480</v>
      </c>
      <c r="G213">
        <f t="shared" si="8"/>
        <v>200</v>
      </c>
      <c r="H213">
        <v>200</v>
      </c>
    </row>
    <row r="214" ht="20" customHeight="1" spans="1:8">
      <c r="A214" s="2"/>
      <c r="B214" s="3" t="s">
        <v>1481</v>
      </c>
      <c r="C214" s="3" t="s">
        <v>1482</v>
      </c>
      <c r="D214" s="4" t="str">
        <f t="shared" si="7"/>
        <v>C9</v>
      </c>
      <c r="E214" s="5">
        <v>1</v>
      </c>
      <c r="F214" s="2"/>
      <c r="G214">
        <f t="shared" si="8"/>
        <v>0</v>
      </c>
      <c r="H214">
        <v>201</v>
      </c>
    </row>
    <row r="215" ht="20" customHeight="1" spans="1:8">
      <c r="A215" s="2"/>
      <c r="B215" s="3" t="s">
        <v>1483</v>
      </c>
      <c r="C215" s="3" t="s">
        <v>1484</v>
      </c>
      <c r="D215" s="4" t="str">
        <f t="shared" si="7"/>
        <v>CA</v>
      </c>
      <c r="E215" s="5">
        <v>1</v>
      </c>
      <c r="F215" s="2"/>
      <c r="G215">
        <f t="shared" si="8"/>
        <v>0</v>
      </c>
      <c r="H215">
        <v>202</v>
      </c>
    </row>
    <row r="216" ht="20" customHeight="1" spans="1:8">
      <c r="A216" s="2"/>
      <c r="B216" s="3" t="s">
        <v>1485</v>
      </c>
      <c r="C216" s="3" t="s">
        <v>1486</v>
      </c>
      <c r="D216" s="4" t="str">
        <f t="shared" si="7"/>
        <v>CB</v>
      </c>
      <c r="E216" s="5">
        <v>1</v>
      </c>
      <c r="F216" s="2"/>
      <c r="G216">
        <f t="shared" si="8"/>
        <v>0</v>
      </c>
      <c r="H216">
        <v>203</v>
      </c>
    </row>
    <row r="217" ht="20" customHeight="1" spans="1:8">
      <c r="A217" s="2"/>
      <c r="B217" s="3" t="s">
        <v>1487</v>
      </c>
      <c r="C217" s="3" t="s">
        <v>1488</v>
      </c>
      <c r="D217" s="4" t="str">
        <f t="shared" si="7"/>
        <v>CC</v>
      </c>
      <c r="E217" s="5">
        <v>1</v>
      </c>
      <c r="F217" s="2"/>
      <c r="G217">
        <f t="shared" si="8"/>
        <v>0</v>
      </c>
      <c r="H217">
        <v>204</v>
      </c>
    </row>
    <row r="218" ht="20" customHeight="1" spans="1:8">
      <c r="A218" s="2"/>
      <c r="B218" s="3" t="s">
        <v>1489</v>
      </c>
      <c r="C218" s="3" t="s">
        <v>1490</v>
      </c>
      <c r="D218" s="4" t="str">
        <f t="shared" si="7"/>
        <v>CD</v>
      </c>
      <c r="E218" s="5">
        <v>1</v>
      </c>
      <c r="F218" s="2"/>
      <c r="G218">
        <f t="shared" si="8"/>
        <v>0</v>
      </c>
      <c r="H218">
        <v>205</v>
      </c>
    </row>
    <row r="219" ht="20" customHeight="1" spans="1:8">
      <c r="A219" s="2"/>
      <c r="B219" s="3" t="s">
        <v>1491</v>
      </c>
      <c r="C219" s="3" t="s">
        <v>1492</v>
      </c>
      <c r="D219" s="4" t="str">
        <f t="shared" si="7"/>
        <v>CE</v>
      </c>
      <c r="E219" s="5">
        <v>1</v>
      </c>
      <c r="F219" s="2"/>
      <c r="G219">
        <f t="shared" si="8"/>
        <v>0</v>
      </c>
      <c r="H219">
        <v>206</v>
      </c>
    </row>
    <row r="220" ht="20" customHeight="1" spans="1:8">
      <c r="A220" s="2"/>
      <c r="B220" s="3" t="s">
        <v>1493</v>
      </c>
      <c r="C220" s="3" t="s">
        <v>1494</v>
      </c>
      <c r="D220" s="4" t="str">
        <f t="shared" si="7"/>
        <v>CF</v>
      </c>
      <c r="E220" s="5">
        <v>1</v>
      </c>
      <c r="F220" s="2"/>
      <c r="G220">
        <f t="shared" si="8"/>
        <v>0</v>
      </c>
      <c r="H220">
        <v>207</v>
      </c>
    </row>
    <row r="221" ht="20" customHeight="1" spans="1:8">
      <c r="A221" s="2" t="s">
        <v>220</v>
      </c>
      <c r="B221" s="3" t="s">
        <v>1495</v>
      </c>
      <c r="C221" s="3" t="s">
        <v>1496</v>
      </c>
      <c r="D221" s="4" t="str">
        <f t="shared" si="7"/>
        <v>D6</v>
      </c>
      <c r="E221" s="5">
        <v>1</v>
      </c>
      <c r="F221" s="2" t="s">
        <v>1497</v>
      </c>
      <c r="G221">
        <f t="shared" si="8"/>
        <v>214</v>
      </c>
      <c r="H221">
        <v>214</v>
      </c>
    </row>
    <row r="222" ht="20" customHeight="1" spans="1:8">
      <c r="A222" s="2"/>
      <c r="B222" s="3" t="s">
        <v>1498</v>
      </c>
      <c r="C222" s="3" t="s">
        <v>1499</v>
      </c>
      <c r="D222" s="4" t="str">
        <f t="shared" si="7"/>
        <v>D7</v>
      </c>
      <c r="E222" s="5">
        <v>1</v>
      </c>
      <c r="F222" s="2"/>
      <c r="G222">
        <f t="shared" si="8"/>
        <v>0</v>
      </c>
      <c r="H222">
        <v>215</v>
      </c>
    </row>
    <row r="223" ht="20" customHeight="1" spans="1:8">
      <c r="A223" s="2" t="s">
        <v>337</v>
      </c>
      <c r="B223" s="3" t="s">
        <v>1500</v>
      </c>
      <c r="C223" s="3" t="s">
        <v>1501</v>
      </c>
      <c r="D223" s="4" t="str">
        <f t="shared" si="7"/>
        <v>64</v>
      </c>
      <c r="E223" s="5">
        <v>2</v>
      </c>
      <c r="F223" s="2">
        <v>64</v>
      </c>
      <c r="G223">
        <f t="shared" si="8"/>
        <v>100</v>
      </c>
      <c r="H223">
        <v>100</v>
      </c>
    </row>
    <row r="224" ht="20" customHeight="1" spans="1:8">
      <c r="A224" s="2" t="s">
        <v>334</v>
      </c>
      <c r="B224" s="3" t="s">
        <v>1502</v>
      </c>
      <c r="C224" s="3" t="s">
        <v>1503</v>
      </c>
      <c r="D224" s="4" t="str">
        <f t="shared" si="7"/>
        <v>66</v>
      </c>
      <c r="E224" s="5">
        <v>1</v>
      </c>
      <c r="F224" s="2">
        <v>66</v>
      </c>
      <c r="G224">
        <f t="shared" si="8"/>
        <v>102</v>
      </c>
      <c r="H224">
        <v>102</v>
      </c>
    </row>
    <row r="225" ht="20" customHeight="1" spans="1:8">
      <c r="A225" s="2"/>
      <c r="B225" s="3" t="s">
        <v>1504</v>
      </c>
      <c r="C225" s="3" t="s">
        <v>1505</v>
      </c>
      <c r="D225" s="4" t="str">
        <f t="shared" si="7"/>
        <v>67</v>
      </c>
      <c r="E225" s="5">
        <v>1</v>
      </c>
      <c r="F225" s="2"/>
      <c r="G225">
        <f t="shared" si="8"/>
        <v>0</v>
      </c>
      <c r="H225">
        <v>103</v>
      </c>
    </row>
    <row r="226" ht="20" customHeight="1" spans="1:8">
      <c r="A226" s="2" t="s">
        <v>331</v>
      </c>
      <c r="B226" s="3" t="s">
        <v>1506</v>
      </c>
      <c r="C226" s="3" t="s">
        <v>1507</v>
      </c>
      <c r="D226" s="4" t="str">
        <f t="shared" si="7"/>
        <v>65</v>
      </c>
      <c r="E226" s="5">
        <v>2</v>
      </c>
      <c r="F226" s="2">
        <v>65</v>
      </c>
      <c r="G226">
        <f t="shared" si="8"/>
        <v>101</v>
      </c>
      <c r="H226">
        <v>101</v>
      </c>
    </row>
    <row r="227" ht="20" customHeight="1" spans="1:8">
      <c r="A227" s="2" t="s">
        <v>328</v>
      </c>
      <c r="B227" s="3" t="s">
        <v>1508</v>
      </c>
      <c r="C227" s="3" t="s">
        <v>1509</v>
      </c>
      <c r="D227" s="4" t="str">
        <f t="shared" si="7"/>
        <v>68</v>
      </c>
      <c r="E227" s="5">
        <v>1</v>
      </c>
      <c r="F227" s="2">
        <v>68</v>
      </c>
      <c r="G227">
        <f t="shared" si="8"/>
        <v>104</v>
      </c>
      <c r="H227">
        <v>104</v>
      </c>
    </row>
    <row r="228" ht="20" customHeight="1" spans="1:8">
      <c r="A228" s="2"/>
      <c r="B228" s="3" t="s">
        <v>1510</v>
      </c>
      <c r="C228" s="3" t="s">
        <v>1511</v>
      </c>
      <c r="D228" s="4" t="str">
        <f t="shared" si="7"/>
        <v>69</v>
      </c>
      <c r="E228" s="5">
        <v>1</v>
      </c>
      <c r="F228" s="2"/>
      <c r="G228">
        <f t="shared" si="8"/>
        <v>0</v>
      </c>
      <c r="H228">
        <v>105</v>
      </c>
    </row>
    <row r="229" ht="20" customHeight="1" spans="1:8">
      <c r="A229" s="2"/>
      <c r="B229" s="3" t="s">
        <v>1512</v>
      </c>
      <c r="C229" s="3" t="s">
        <v>1513</v>
      </c>
      <c r="D229" s="4" t="str">
        <f t="shared" si="7"/>
        <v>6A</v>
      </c>
      <c r="E229" s="5">
        <v>1</v>
      </c>
      <c r="F229" s="2"/>
      <c r="G229">
        <f t="shared" si="8"/>
        <v>0</v>
      </c>
      <c r="H229">
        <v>106</v>
      </c>
    </row>
    <row r="230" ht="20" customHeight="1" spans="1:8">
      <c r="A230" s="2"/>
      <c r="B230" s="3" t="s">
        <v>1514</v>
      </c>
      <c r="C230" s="3" t="s">
        <v>1515</v>
      </c>
      <c r="D230" s="4" t="str">
        <f t="shared" si="7"/>
        <v>6B</v>
      </c>
      <c r="E230" s="5">
        <v>1</v>
      </c>
      <c r="F230" s="2"/>
      <c r="G230">
        <f t="shared" si="8"/>
        <v>0</v>
      </c>
      <c r="H230">
        <v>107</v>
      </c>
    </row>
    <row r="231" ht="20" customHeight="1" spans="1:8">
      <c r="A231" s="2"/>
      <c r="B231" s="3" t="s">
        <v>1516</v>
      </c>
      <c r="C231" s="3" t="s">
        <v>1517</v>
      </c>
      <c r="D231" s="4" t="str">
        <f t="shared" si="7"/>
        <v>6C</v>
      </c>
      <c r="E231" s="5">
        <v>1</v>
      </c>
      <c r="F231" s="2"/>
      <c r="G231">
        <f t="shared" si="8"/>
        <v>0</v>
      </c>
      <c r="H231">
        <v>108</v>
      </c>
    </row>
    <row r="232" ht="20" customHeight="1" spans="1:8">
      <c r="A232" s="2"/>
      <c r="B232" s="3" t="s">
        <v>1518</v>
      </c>
      <c r="C232" s="3" t="s">
        <v>1519</v>
      </c>
      <c r="D232" s="4" t="str">
        <f t="shared" si="7"/>
        <v>6D</v>
      </c>
      <c r="E232" s="5">
        <v>1</v>
      </c>
      <c r="F232" s="2"/>
      <c r="G232">
        <f t="shared" si="8"/>
        <v>0</v>
      </c>
      <c r="H232">
        <v>109</v>
      </c>
    </row>
    <row r="233" ht="20" customHeight="1" spans="1:8">
      <c r="A233" s="2"/>
      <c r="B233" s="3" t="s">
        <v>1520</v>
      </c>
      <c r="C233" s="3" t="s">
        <v>1521</v>
      </c>
      <c r="D233" s="4" t="str">
        <f t="shared" si="7"/>
        <v>6E</v>
      </c>
      <c r="E233" s="5">
        <v>1</v>
      </c>
      <c r="F233" s="2"/>
      <c r="G233">
        <f t="shared" si="8"/>
        <v>0</v>
      </c>
      <c r="H233">
        <v>110</v>
      </c>
    </row>
    <row r="234" ht="20" customHeight="1" spans="1:8">
      <c r="A234" s="2"/>
      <c r="B234" s="3" t="s">
        <v>1522</v>
      </c>
      <c r="C234" s="3" t="s">
        <v>1523</v>
      </c>
      <c r="D234" s="4" t="str">
        <f t="shared" si="7"/>
        <v>6F</v>
      </c>
      <c r="E234" s="5">
        <v>1</v>
      </c>
      <c r="F234" s="2"/>
      <c r="G234">
        <f t="shared" si="8"/>
        <v>0</v>
      </c>
      <c r="H234">
        <v>111</v>
      </c>
    </row>
    <row r="235" ht="20" customHeight="1" spans="1:8">
      <c r="A235" s="2" t="s">
        <v>366</v>
      </c>
      <c r="B235" s="3" t="s">
        <v>1524</v>
      </c>
      <c r="C235" s="3" t="s">
        <v>1525</v>
      </c>
      <c r="D235" s="4" t="str">
        <f t="shared" si="7"/>
        <v>62</v>
      </c>
      <c r="E235" s="5">
        <v>3</v>
      </c>
      <c r="F235" s="2">
        <v>62</v>
      </c>
      <c r="G235">
        <f t="shared" si="8"/>
        <v>98</v>
      </c>
      <c r="H235">
        <v>98</v>
      </c>
    </row>
  </sheetData>
  <sortState ref="A1:E104">
    <sortCondition ref="B1:B10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Sheet2</vt:lpstr>
      <vt:lpstr>80C51</vt:lpstr>
      <vt:lpstr>STC90C52汇编指令</vt:lpstr>
      <vt:lpstr>STC90C52寄存器</vt:lpstr>
      <vt:lpstr>汇编状态表</vt:lpstr>
      <vt:lpstr>汇编指令字节数表</vt:lpstr>
      <vt:lpstr>汇编状态表-备份</vt:lpstr>
      <vt:lpstr>汇编指令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jiangxiankun</dc:creator>
  <cp:lastModifiedBy>7K</cp:lastModifiedBy>
  <dcterms:created xsi:type="dcterms:W3CDTF">2025-12-23T09:41:00Z</dcterms:created>
  <dcterms:modified xsi:type="dcterms:W3CDTF">2025-12-26T09:58:32Z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1FCBCF84B90573FF4C124969106B4DED_41</vt:lpwstr>
  </property>
  <property fmtid="{D5CDD505-2E9C-101B-9397-08002B2CF9AE}" pid="3" name="KSOProductBuildVer">
    <vt:lpwstr>2052-6.2.1.8344</vt:lpwstr>
  </property>
</Properties>
</file>